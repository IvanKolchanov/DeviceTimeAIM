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Ex2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Ex3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27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Ex4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lch\Downloads\"/>
    </mc:Choice>
  </mc:AlternateContent>
  <xr:revisionPtr revIDLastSave="0" documentId="8_{6E5657B9-43AE-427F-BA0C-0534BBBC72D0}" xr6:coauthVersionLast="47" xr6:coauthVersionMax="47" xr10:uidLastSave="{00000000-0000-0000-0000-000000000000}"/>
  <bookViews>
    <workbookView xWindow="-98" yWindow="-98" windowWidth="21795" windowHeight="13695" activeTab="2" xr2:uid="{7DF24320-584D-46C2-B97A-957C25F3FECD}"/>
  </bookViews>
  <sheets>
    <sheet name="Uncalibrated" sheetId="1" r:id="rId1"/>
    <sheet name="Calibrated" sheetId="2" r:id="rId2"/>
    <sheet name="Test1" sheetId="3" r:id="rId3"/>
  </sheets>
  <definedNames>
    <definedName name="_xlnm._FilterDatabase" localSheetId="2" hidden="1">Test1!$AO$1:$AO$894</definedName>
    <definedName name="_xlchart.v1.0" hidden="1">Uncalibrated!$N$3:$N$212</definedName>
    <definedName name="_xlchart.v1.1" hidden="1">Calibrated!$N$3:$N$250</definedName>
    <definedName name="_xlchart.v1.2" hidden="1">Test1!$N$3:$N$300</definedName>
    <definedName name="_xlchart.v1.3" hidden="1">Test1!$AO$1:$AO$914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" l="1"/>
  <c r="D25" i="1"/>
  <c r="G101" i="3"/>
  <c r="H101" i="3"/>
  <c r="N101" i="3"/>
  <c r="G33" i="3"/>
  <c r="H33" i="3"/>
  <c r="N33" i="3"/>
  <c r="G203" i="3"/>
  <c r="H203" i="3"/>
  <c r="I203" i="3"/>
  <c r="J203" i="3"/>
  <c r="N203" i="3"/>
  <c r="G169" i="3"/>
  <c r="J169" i="3" s="1"/>
  <c r="H169" i="3"/>
  <c r="I169" i="3"/>
  <c r="N169" i="3"/>
  <c r="G237" i="3"/>
  <c r="H237" i="3"/>
  <c r="N237" i="3"/>
  <c r="G135" i="3"/>
  <c r="H135" i="3"/>
  <c r="N135" i="3"/>
  <c r="G271" i="3"/>
  <c r="J237" i="3" s="1"/>
  <c r="H271" i="3"/>
  <c r="I271" i="3"/>
  <c r="J271" i="3"/>
  <c r="N271" i="3"/>
  <c r="G67" i="3"/>
  <c r="H67" i="3"/>
  <c r="N67" i="3"/>
  <c r="AO597" i="3" a="1"/>
  <c r="AO597" i="3" s="1"/>
  <c r="AO299" i="3" a="1"/>
  <c r="AO299" i="3" s="1"/>
  <c r="G168" i="3"/>
  <c r="I168" i="3" s="1"/>
  <c r="H168" i="3"/>
  <c r="N168" i="3"/>
  <c r="G134" i="3"/>
  <c r="I135" i="3" s="1"/>
  <c r="H134" i="3"/>
  <c r="N134" i="3"/>
  <c r="G32" i="3"/>
  <c r="H32" i="3"/>
  <c r="N32" i="3"/>
  <c r="G100" i="3"/>
  <c r="J101" i="3" s="1"/>
  <c r="H100" i="3"/>
  <c r="N100" i="3"/>
  <c r="G270" i="3"/>
  <c r="H270" i="3"/>
  <c r="N270" i="3"/>
  <c r="G66" i="3"/>
  <c r="H66" i="3"/>
  <c r="N66" i="3"/>
  <c r="G236" i="3"/>
  <c r="I237" i="3" s="1"/>
  <c r="H236" i="3"/>
  <c r="I236" i="3"/>
  <c r="N236" i="3"/>
  <c r="G202" i="3"/>
  <c r="H202" i="3"/>
  <c r="N202" i="3"/>
  <c r="G269" i="3"/>
  <c r="H269" i="3"/>
  <c r="N269" i="3"/>
  <c r="N30" i="3"/>
  <c r="N31" i="3"/>
  <c r="G31" i="3"/>
  <c r="I31" i="3" s="1"/>
  <c r="H31" i="3"/>
  <c r="G167" i="3"/>
  <c r="H167" i="3"/>
  <c r="N167" i="3"/>
  <c r="G235" i="3"/>
  <c r="H235" i="3"/>
  <c r="N235" i="3"/>
  <c r="G201" i="3"/>
  <c r="H201" i="3"/>
  <c r="N201" i="3"/>
  <c r="G133" i="3"/>
  <c r="I133" i="3" s="1"/>
  <c r="H133" i="3"/>
  <c r="N133" i="3"/>
  <c r="G99" i="3"/>
  <c r="H99" i="3"/>
  <c r="N99" i="3"/>
  <c r="G65" i="3"/>
  <c r="H65" i="3"/>
  <c r="N65" i="3"/>
  <c r="G234" i="3"/>
  <c r="H234" i="3"/>
  <c r="N234" i="3"/>
  <c r="G200" i="3"/>
  <c r="H200" i="3"/>
  <c r="N200" i="3"/>
  <c r="G132" i="3"/>
  <c r="H132" i="3"/>
  <c r="N132" i="3"/>
  <c r="G98" i="3"/>
  <c r="H98" i="3"/>
  <c r="N98" i="3"/>
  <c r="G30" i="3"/>
  <c r="H30" i="3"/>
  <c r="G166" i="3"/>
  <c r="H166" i="3"/>
  <c r="N166" i="3"/>
  <c r="G268" i="3"/>
  <c r="J268" i="3" s="1"/>
  <c r="H268" i="3"/>
  <c r="I268" i="3"/>
  <c r="N268" i="3"/>
  <c r="G64" i="3"/>
  <c r="H64" i="3"/>
  <c r="N64" i="3"/>
  <c r="G165" i="3"/>
  <c r="H165" i="3"/>
  <c r="N165" i="3"/>
  <c r="G267" i="3"/>
  <c r="H267" i="3"/>
  <c r="N267" i="3"/>
  <c r="G131" i="3"/>
  <c r="H131" i="3"/>
  <c r="N131" i="3"/>
  <c r="G199" i="3"/>
  <c r="I200" i="3" s="1"/>
  <c r="H199" i="3"/>
  <c r="N199" i="3"/>
  <c r="G233" i="3"/>
  <c r="I233" i="3" s="1"/>
  <c r="H233" i="3"/>
  <c r="J233" i="3"/>
  <c r="N233" i="3"/>
  <c r="G97" i="3"/>
  <c r="H97" i="3"/>
  <c r="N97" i="3"/>
  <c r="G63" i="3"/>
  <c r="I64" i="3" s="1"/>
  <c r="H63" i="3"/>
  <c r="N63" i="3"/>
  <c r="G29" i="3"/>
  <c r="H29" i="3"/>
  <c r="N29" i="3"/>
  <c r="G28" i="3"/>
  <c r="H28" i="3"/>
  <c r="N28" i="3"/>
  <c r="G164" i="3"/>
  <c r="H164" i="3"/>
  <c r="N164" i="3"/>
  <c r="G130" i="3"/>
  <c r="I131" i="3" s="1"/>
  <c r="H130" i="3"/>
  <c r="N130" i="3"/>
  <c r="G96" i="3"/>
  <c r="I96" i="3" s="1"/>
  <c r="H96" i="3"/>
  <c r="N96" i="3"/>
  <c r="G62" i="3"/>
  <c r="H62" i="3"/>
  <c r="N62" i="3"/>
  <c r="G266" i="3"/>
  <c r="H266" i="3"/>
  <c r="N266" i="3"/>
  <c r="G198" i="3"/>
  <c r="H198" i="3"/>
  <c r="N198" i="3"/>
  <c r="G232" i="3"/>
  <c r="H232" i="3"/>
  <c r="N232" i="3"/>
  <c r="G129" i="3"/>
  <c r="H129" i="3"/>
  <c r="N129" i="3"/>
  <c r="G61" i="3"/>
  <c r="H61" i="3"/>
  <c r="N61" i="3"/>
  <c r="G163" i="3"/>
  <c r="H163" i="3"/>
  <c r="N163" i="3"/>
  <c r="G265" i="3"/>
  <c r="H265" i="3"/>
  <c r="N265" i="3"/>
  <c r="G27" i="3"/>
  <c r="H27" i="3"/>
  <c r="N27" i="3"/>
  <c r="G197" i="3"/>
  <c r="I198" i="3" s="1"/>
  <c r="H197" i="3"/>
  <c r="N197" i="3"/>
  <c r="G95" i="3"/>
  <c r="I95" i="3" s="1"/>
  <c r="H95" i="3"/>
  <c r="J95" i="3"/>
  <c r="N95" i="3"/>
  <c r="G231" i="3"/>
  <c r="H231" i="3"/>
  <c r="N231" i="3"/>
  <c r="G229" i="3"/>
  <c r="H229" i="3"/>
  <c r="N229" i="3"/>
  <c r="G230" i="3"/>
  <c r="H230" i="3"/>
  <c r="N230" i="3"/>
  <c r="G195" i="3"/>
  <c r="H195" i="3"/>
  <c r="N195" i="3"/>
  <c r="G196" i="3"/>
  <c r="I196" i="3" s="1"/>
  <c r="H196" i="3"/>
  <c r="N196" i="3"/>
  <c r="G161" i="3"/>
  <c r="H161" i="3"/>
  <c r="N161" i="3"/>
  <c r="G162" i="3"/>
  <c r="I163" i="3" s="1"/>
  <c r="H162" i="3"/>
  <c r="N162" i="3"/>
  <c r="G127" i="3"/>
  <c r="H127" i="3"/>
  <c r="N127" i="3"/>
  <c r="G128" i="3"/>
  <c r="I128" i="3" s="1"/>
  <c r="H128" i="3"/>
  <c r="N128" i="3"/>
  <c r="G93" i="3"/>
  <c r="H93" i="3"/>
  <c r="N93" i="3"/>
  <c r="G94" i="3"/>
  <c r="H94" i="3"/>
  <c r="N94" i="3"/>
  <c r="G59" i="3"/>
  <c r="H59" i="3"/>
  <c r="N59" i="3"/>
  <c r="G60" i="3"/>
  <c r="H60" i="3"/>
  <c r="I60" i="3"/>
  <c r="J60" i="3"/>
  <c r="N60" i="3"/>
  <c r="G25" i="3"/>
  <c r="H25" i="3"/>
  <c r="N25" i="3"/>
  <c r="G26" i="3"/>
  <c r="H26" i="3"/>
  <c r="N26" i="3"/>
  <c r="G264" i="3"/>
  <c r="H264" i="3"/>
  <c r="N264" i="3"/>
  <c r="G263" i="3"/>
  <c r="H263" i="3"/>
  <c r="N263" i="3"/>
  <c r="G92" i="3"/>
  <c r="H92" i="3"/>
  <c r="N92" i="3"/>
  <c r="G160" i="3"/>
  <c r="H160" i="3"/>
  <c r="N160" i="3"/>
  <c r="G194" i="3"/>
  <c r="I195" i="3" s="1"/>
  <c r="H194" i="3"/>
  <c r="N194" i="3"/>
  <c r="G262" i="3"/>
  <c r="H262" i="3"/>
  <c r="N262" i="3"/>
  <c r="G58" i="3"/>
  <c r="H58" i="3"/>
  <c r="N58" i="3"/>
  <c r="G228" i="3"/>
  <c r="H228" i="3"/>
  <c r="N228" i="3"/>
  <c r="G24" i="3"/>
  <c r="H24" i="3"/>
  <c r="N24" i="3"/>
  <c r="G126" i="3"/>
  <c r="H126" i="3"/>
  <c r="N126" i="3"/>
  <c r="G159" i="3"/>
  <c r="H159" i="3"/>
  <c r="N159" i="3"/>
  <c r="G91" i="3"/>
  <c r="H91" i="3"/>
  <c r="N91" i="3"/>
  <c r="G193" i="3"/>
  <c r="H193" i="3"/>
  <c r="N193" i="3"/>
  <c r="G227" i="3"/>
  <c r="H227" i="3"/>
  <c r="N227" i="3"/>
  <c r="G57" i="3"/>
  <c r="H57" i="3"/>
  <c r="N57" i="3"/>
  <c r="G23" i="3"/>
  <c r="H23" i="3"/>
  <c r="N23" i="3"/>
  <c r="G125" i="3"/>
  <c r="H125" i="3"/>
  <c r="N125" i="3"/>
  <c r="G261" i="3"/>
  <c r="H261" i="3"/>
  <c r="N261" i="3"/>
  <c r="N183" i="2"/>
  <c r="G226" i="3"/>
  <c r="H226" i="3"/>
  <c r="N226" i="3"/>
  <c r="G192" i="3"/>
  <c r="H192" i="3"/>
  <c r="N192" i="3"/>
  <c r="G158" i="3"/>
  <c r="H158" i="3"/>
  <c r="N158" i="3"/>
  <c r="G56" i="3"/>
  <c r="I57" i="3" s="1"/>
  <c r="H56" i="3"/>
  <c r="N56" i="3"/>
  <c r="G22" i="3"/>
  <c r="H22" i="3"/>
  <c r="N22" i="3"/>
  <c r="G260" i="3"/>
  <c r="H260" i="3"/>
  <c r="N260" i="3"/>
  <c r="G124" i="3"/>
  <c r="H124" i="3"/>
  <c r="N124" i="3"/>
  <c r="G90" i="3"/>
  <c r="H90" i="3"/>
  <c r="N90" i="3"/>
  <c r="G55" i="3"/>
  <c r="H55" i="3"/>
  <c r="N55" i="3"/>
  <c r="G225" i="3"/>
  <c r="H225" i="3"/>
  <c r="N225" i="3"/>
  <c r="G123" i="3"/>
  <c r="H123" i="3"/>
  <c r="N123" i="3"/>
  <c r="G89" i="3"/>
  <c r="H89" i="3"/>
  <c r="N89" i="3"/>
  <c r="N259" i="3"/>
  <c r="G259" i="3"/>
  <c r="H259" i="3"/>
  <c r="G21" i="3"/>
  <c r="H21" i="3"/>
  <c r="N21" i="3"/>
  <c r="G191" i="3"/>
  <c r="H191" i="3"/>
  <c r="N191" i="3"/>
  <c r="G157" i="3"/>
  <c r="H157" i="3"/>
  <c r="N157" i="3"/>
  <c r="G224" i="3"/>
  <c r="I225" i="3" s="1"/>
  <c r="H224" i="3"/>
  <c r="N224" i="3"/>
  <c r="G122" i="3"/>
  <c r="H122" i="3"/>
  <c r="N122" i="3"/>
  <c r="G258" i="3"/>
  <c r="H258" i="3"/>
  <c r="G257" i="3"/>
  <c r="I258" i="3" s="1"/>
  <c r="N258" i="3"/>
  <c r="G88" i="3"/>
  <c r="H88" i="3"/>
  <c r="N88" i="3"/>
  <c r="G54" i="3"/>
  <c r="H54" i="3"/>
  <c r="N54" i="3"/>
  <c r="G156" i="3"/>
  <c r="H156" i="3"/>
  <c r="N156" i="3"/>
  <c r="G20" i="3"/>
  <c r="H20" i="3"/>
  <c r="N20" i="3"/>
  <c r="G190" i="3"/>
  <c r="H190" i="3"/>
  <c r="N190" i="3"/>
  <c r="G155" i="3"/>
  <c r="H155" i="3"/>
  <c r="N155" i="3"/>
  <c r="G19" i="3"/>
  <c r="J20" i="3" s="1"/>
  <c r="H19" i="3"/>
  <c r="N19" i="3"/>
  <c r="G53" i="3"/>
  <c r="H53" i="3"/>
  <c r="N53" i="3"/>
  <c r="G189" i="3"/>
  <c r="H189" i="3"/>
  <c r="N189" i="3"/>
  <c r="G87" i="3"/>
  <c r="H87" i="3"/>
  <c r="I87" i="3"/>
  <c r="J87" i="3"/>
  <c r="N87" i="3"/>
  <c r="G121" i="3"/>
  <c r="H121" i="3"/>
  <c r="N121" i="3"/>
  <c r="G223" i="3"/>
  <c r="H223" i="3"/>
  <c r="N223" i="3"/>
  <c r="H257" i="3"/>
  <c r="N257" i="3"/>
  <c r="G256" i="3"/>
  <c r="H256" i="3"/>
  <c r="N256" i="3"/>
  <c r="G86" i="3"/>
  <c r="H86" i="3"/>
  <c r="N86" i="3"/>
  <c r="G52" i="3"/>
  <c r="H52" i="3"/>
  <c r="N52" i="3"/>
  <c r="G154" i="3"/>
  <c r="H154" i="3"/>
  <c r="N154" i="3"/>
  <c r="G18" i="3"/>
  <c r="H18" i="3"/>
  <c r="N18" i="3"/>
  <c r="G120" i="3"/>
  <c r="H120" i="3"/>
  <c r="N120" i="3"/>
  <c r="G188" i="3"/>
  <c r="H188" i="3"/>
  <c r="N188" i="3"/>
  <c r="G222" i="3"/>
  <c r="H222" i="3"/>
  <c r="N222" i="3"/>
  <c r="G187" i="3"/>
  <c r="H187" i="3"/>
  <c r="N187" i="3"/>
  <c r="G17" i="3"/>
  <c r="H17" i="3"/>
  <c r="N17" i="3"/>
  <c r="G153" i="3"/>
  <c r="H153" i="3"/>
  <c r="N153" i="3"/>
  <c r="G119" i="3"/>
  <c r="H119" i="3"/>
  <c r="N119" i="3"/>
  <c r="G221" i="3"/>
  <c r="H221" i="3"/>
  <c r="N221" i="3"/>
  <c r="G51" i="3"/>
  <c r="H51" i="3"/>
  <c r="N51" i="3"/>
  <c r="G85" i="3"/>
  <c r="H85" i="3"/>
  <c r="N85" i="3"/>
  <c r="G255" i="3"/>
  <c r="H255" i="3"/>
  <c r="N255" i="3"/>
  <c r="G84" i="3"/>
  <c r="I85" i="3" s="1"/>
  <c r="H84" i="3"/>
  <c r="N84" i="3"/>
  <c r="G50" i="3"/>
  <c r="H50" i="3"/>
  <c r="I50" i="3"/>
  <c r="N50" i="3"/>
  <c r="G220" i="3"/>
  <c r="H220" i="3"/>
  <c r="N220" i="3"/>
  <c r="G254" i="3"/>
  <c r="H254" i="3"/>
  <c r="N254" i="3"/>
  <c r="G118" i="3"/>
  <c r="H118" i="3"/>
  <c r="N118" i="3"/>
  <c r="G152" i="3"/>
  <c r="H152" i="3"/>
  <c r="N152" i="3"/>
  <c r="G16" i="3"/>
  <c r="H16" i="3"/>
  <c r="N16" i="3"/>
  <c r="G186" i="3"/>
  <c r="H186" i="3"/>
  <c r="N186" i="3"/>
  <c r="G117" i="3"/>
  <c r="H117" i="3"/>
  <c r="N117" i="3"/>
  <c r="G219" i="3"/>
  <c r="H219" i="3"/>
  <c r="N219" i="3"/>
  <c r="G151" i="3"/>
  <c r="H151" i="3"/>
  <c r="N151" i="3"/>
  <c r="G49" i="3"/>
  <c r="H49" i="3"/>
  <c r="N49" i="3"/>
  <c r="G83" i="3"/>
  <c r="H83" i="3"/>
  <c r="N83" i="3"/>
  <c r="G15" i="3"/>
  <c r="I16" i="3" s="1"/>
  <c r="H15" i="3"/>
  <c r="N15" i="3"/>
  <c r="G185" i="3"/>
  <c r="H185" i="3"/>
  <c r="N185" i="3"/>
  <c r="G253" i="3"/>
  <c r="H253" i="3"/>
  <c r="N253" i="3"/>
  <c r="G184" i="3"/>
  <c r="H184" i="3"/>
  <c r="N184" i="3"/>
  <c r="G14" i="3"/>
  <c r="H14" i="3"/>
  <c r="N14" i="3"/>
  <c r="G82" i="3"/>
  <c r="H82" i="3"/>
  <c r="N82" i="3"/>
  <c r="G48" i="3"/>
  <c r="H48" i="3"/>
  <c r="N48" i="3"/>
  <c r="G150" i="3"/>
  <c r="H150" i="3"/>
  <c r="N150" i="3"/>
  <c r="G218" i="3"/>
  <c r="H218" i="3"/>
  <c r="N218" i="3"/>
  <c r="G116" i="3"/>
  <c r="H116" i="3"/>
  <c r="N116" i="3"/>
  <c r="G252" i="3"/>
  <c r="H252" i="3"/>
  <c r="N252" i="3"/>
  <c r="G115" i="3"/>
  <c r="H115" i="3"/>
  <c r="N115" i="3"/>
  <c r="G217" i="3"/>
  <c r="H217" i="3"/>
  <c r="N217" i="3"/>
  <c r="G149" i="3"/>
  <c r="H149" i="3"/>
  <c r="N149" i="3"/>
  <c r="G183" i="3"/>
  <c r="H183" i="3"/>
  <c r="N183" i="3"/>
  <c r="G81" i="3"/>
  <c r="H81" i="3"/>
  <c r="N81" i="3"/>
  <c r="G47" i="3"/>
  <c r="H47" i="3"/>
  <c r="N47" i="3"/>
  <c r="G13" i="3"/>
  <c r="H13" i="3"/>
  <c r="N13" i="3"/>
  <c r="G251" i="3"/>
  <c r="H251" i="3"/>
  <c r="N251" i="3"/>
  <c r="G250" i="3"/>
  <c r="H250" i="3"/>
  <c r="N250" i="3"/>
  <c r="G148" i="3"/>
  <c r="I149" i="3" s="1"/>
  <c r="H148" i="3"/>
  <c r="N148" i="3"/>
  <c r="G46" i="3"/>
  <c r="H46" i="3"/>
  <c r="N46" i="3"/>
  <c r="G216" i="3"/>
  <c r="H216" i="3"/>
  <c r="N216" i="3"/>
  <c r="G114" i="3"/>
  <c r="H114" i="3"/>
  <c r="N114" i="3"/>
  <c r="G80" i="3"/>
  <c r="H80" i="3"/>
  <c r="N80" i="3"/>
  <c r="G12" i="3"/>
  <c r="H12" i="3"/>
  <c r="N12" i="3"/>
  <c r="G182" i="3"/>
  <c r="H182" i="3"/>
  <c r="N182" i="3"/>
  <c r="G181" i="3"/>
  <c r="H181" i="3"/>
  <c r="N181" i="3"/>
  <c r="G79" i="3"/>
  <c r="H79" i="3"/>
  <c r="N79" i="3"/>
  <c r="G11" i="3"/>
  <c r="H11" i="3"/>
  <c r="N11" i="3"/>
  <c r="G113" i="3"/>
  <c r="H113" i="3"/>
  <c r="N113" i="3"/>
  <c r="G215" i="3"/>
  <c r="H215" i="3"/>
  <c r="N215" i="3"/>
  <c r="G45" i="3"/>
  <c r="H45" i="3"/>
  <c r="N45" i="3"/>
  <c r="G147" i="3"/>
  <c r="H147" i="3"/>
  <c r="N147" i="3"/>
  <c r="G249" i="3"/>
  <c r="H249" i="3"/>
  <c r="N249" i="3"/>
  <c r="G44" i="3"/>
  <c r="H44" i="3"/>
  <c r="N44" i="3"/>
  <c r="G112" i="3"/>
  <c r="H112" i="3"/>
  <c r="N112" i="3"/>
  <c r="G214" i="3"/>
  <c r="H214" i="3"/>
  <c r="N214" i="3"/>
  <c r="G146" i="3"/>
  <c r="H146" i="3"/>
  <c r="N146" i="3"/>
  <c r="G10" i="3"/>
  <c r="H10" i="3"/>
  <c r="N10" i="3"/>
  <c r="G78" i="3"/>
  <c r="H78" i="3"/>
  <c r="N78" i="3"/>
  <c r="G248" i="3"/>
  <c r="H248" i="3"/>
  <c r="N248" i="3"/>
  <c r="G180" i="3"/>
  <c r="H180" i="3"/>
  <c r="N180" i="3"/>
  <c r="K174" i="2"/>
  <c r="K153" i="2"/>
  <c r="K129" i="2"/>
  <c r="K105" i="2"/>
  <c r="K81" i="2"/>
  <c r="K57" i="2"/>
  <c r="K33" i="2"/>
  <c r="K9" i="2"/>
  <c r="K174" i="1"/>
  <c r="K153" i="1"/>
  <c r="K129" i="1"/>
  <c r="K105" i="1"/>
  <c r="K57" i="1"/>
  <c r="K81" i="1"/>
  <c r="K33" i="1"/>
  <c r="K9" i="1"/>
  <c r="N111" i="3"/>
  <c r="G43" i="3"/>
  <c r="J44" i="3" s="1"/>
  <c r="H43" i="3"/>
  <c r="N43" i="3"/>
  <c r="G145" i="3"/>
  <c r="H145" i="3"/>
  <c r="N145" i="3"/>
  <c r="G77" i="3"/>
  <c r="H77" i="3"/>
  <c r="N77" i="3"/>
  <c r="G213" i="3"/>
  <c r="H213" i="3"/>
  <c r="N213" i="3"/>
  <c r="G247" i="3"/>
  <c r="H247" i="3"/>
  <c r="N247" i="3"/>
  <c r="G111" i="3"/>
  <c r="H111" i="3"/>
  <c r="G9" i="3"/>
  <c r="H9" i="3"/>
  <c r="N9" i="3"/>
  <c r="G179" i="3"/>
  <c r="H179" i="3"/>
  <c r="N179" i="3"/>
  <c r="G42" i="3"/>
  <c r="H42" i="3"/>
  <c r="N42" i="3"/>
  <c r="G8" i="3"/>
  <c r="H8" i="3"/>
  <c r="N8" i="3"/>
  <c r="G246" i="3"/>
  <c r="H246" i="3"/>
  <c r="N246" i="3"/>
  <c r="G144" i="3"/>
  <c r="H144" i="3"/>
  <c r="N144" i="3"/>
  <c r="G178" i="3"/>
  <c r="H178" i="3"/>
  <c r="N178" i="3"/>
  <c r="G76" i="3"/>
  <c r="H76" i="3"/>
  <c r="N76" i="3"/>
  <c r="H210" i="3"/>
  <c r="H211" i="3"/>
  <c r="H212" i="3"/>
  <c r="G212" i="3"/>
  <c r="N212" i="3"/>
  <c r="G110" i="3"/>
  <c r="H110" i="3"/>
  <c r="N110" i="3"/>
  <c r="N208" i="3"/>
  <c r="N209" i="3"/>
  <c r="N210" i="3"/>
  <c r="N211" i="3"/>
  <c r="G41" i="3"/>
  <c r="H41" i="3"/>
  <c r="N41" i="3"/>
  <c r="G7" i="3"/>
  <c r="H7" i="3"/>
  <c r="N7" i="3"/>
  <c r="N75" i="3"/>
  <c r="G75" i="3"/>
  <c r="H75" i="3"/>
  <c r="G211" i="3"/>
  <c r="N109" i="3"/>
  <c r="G109" i="3"/>
  <c r="H109" i="3"/>
  <c r="G143" i="3"/>
  <c r="H143" i="3"/>
  <c r="N143" i="3"/>
  <c r="G177" i="3"/>
  <c r="H177" i="3"/>
  <c r="N177" i="3"/>
  <c r="G245" i="3"/>
  <c r="H245" i="3"/>
  <c r="N245" i="3"/>
  <c r="N176" i="3"/>
  <c r="G176" i="3"/>
  <c r="H176" i="3"/>
  <c r="I176" i="3"/>
  <c r="N108" i="3"/>
  <c r="G108" i="3"/>
  <c r="H108" i="3"/>
  <c r="N74" i="3"/>
  <c r="G74" i="3"/>
  <c r="I75" i="3" s="1"/>
  <c r="H74" i="3"/>
  <c r="G210" i="3"/>
  <c r="N142" i="3"/>
  <c r="G142" i="3"/>
  <c r="H142" i="3"/>
  <c r="N40" i="3"/>
  <c r="G40" i="3"/>
  <c r="H40" i="3"/>
  <c r="N6" i="3"/>
  <c r="G6" i="3"/>
  <c r="H6" i="3"/>
  <c r="H244" i="3"/>
  <c r="N244" i="3"/>
  <c r="G244" i="3"/>
  <c r="N5" i="3"/>
  <c r="G5" i="3"/>
  <c r="H5" i="3"/>
  <c r="N39" i="3"/>
  <c r="G39" i="3"/>
  <c r="H39" i="3"/>
  <c r="N141" i="3"/>
  <c r="G141" i="3"/>
  <c r="H141" i="3"/>
  <c r="G209" i="3"/>
  <c r="H209" i="3"/>
  <c r="G243" i="3"/>
  <c r="H243" i="3"/>
  <c r="N243" i="3"/>
  <c r="N175" i="3"/>
  <c r="G175" i="3"/>
  <c r="H175" i="3"/>
  <c r="N107" i="3"/>
  <c r="G107" i="3"/>
  <c r="H107" i="3"/>
  <c r="N73" i="3"/>
  <c r="G73" i="3"/>
  <c r="H73" i="3"/>
  <c r="N242" i="3"/>
  <c r="H242" i="3"/>
  <c r="G242" i="3"/>
  <c r="N241" i="3"/>
  <c r="G241" i="3"/>
  <c r="D239" i="3"/>
  <c r="H208" i="3"/>
  <c r="M208" i="3" s="1"/>
  <c r="G208" i="3"/>
  <c r="N207" i="3"/>
  <c r="G207" i="3"/>
  <c r="D205" i="3"/>
  <c r="N174" i="3"/>
  <c r="H174" i="3"/>
  <c r="M174" i="3" s="1"/>
  <c r="G174" i="3"/>
  <c r="N173" i="3"/>
  <c r="G173" i="3"/>
  <c r="D171" i="3"/>
  <c r="N140" i="3"/>
  <c r="H140" i="3"/>
  <c r="M140" i="3" s="1"/>
  <c r="G140" i="3"/>
  <c r="N139" i="3"/>
  <c r="G139" i="3"/>
  <c r="D137" i="3"/>
  <c r="N106" i="3"/>
  <c r="H106" i="3"/>
  <c r="M106" i="3" s="1"/>
  <c r="G106" i="3"/>
  <c r="N105" i="3"/>
  <c r="G105" i="3"/>
  <c r="D103" i="3"/>
  <c r="N72" i="3"/>
  <c r="H72" i="3"/>
  <c r="M72" i="3" s="1"/>
  <c r="G72" i="3"/>
  <c r="N71" i="3"/>
  <c r="G71" i="3"/>
  <c r="D69" i="3"/>
  <c r="N38" i="3"/>
  <c r="H38" i="3"/>
  <c r="M38" i="3" s="1"/>
  <c r="G38" i="3"/>
  <c r="N37" i="3"/>
  <c r="G37" i="3"/>
  <c r="D35" i="3"/>
  <c r="A18" i="3"/>
  <c r="A17" i="3"/>
  <c r="A16" i="3"/>
  <c r="A15" i="3"/>
  <c r="A14" i="3"/>
  <c r="A13" i="3"/>
  <c r="A12" i="3"/>
  <c r="A11" i="3"/>
  <c r="Z10" i="3"/>
  <c r="Y10" i="3"/>
  <c r="Z9" i="3"/>
  <c r="Y9" i="3"/>
  <c r="Z8" i="3"/>
  <c r="Y8" i="3"/>
  <c r="Z7" i="3"/>
  <c r="Y7" i="3"/>
  <c r="AA7" i="3" s="1"/>
  <c r="Z6" i="3"/>
  <c r="Y6" i="3"/>
  <c r="Z5" i="3"/>
  <c r="Y5" i="3"/>
  <c r="Z4" i="3"/>
  <c r="Y4" i="3"/>
  <c r="N4" i="3"/>
  <c r="H4" i="3"/>
  <c r="M4" i="3" s="1"/>
  <c r="G4" i="3"/>
  <c r="J5" i="3" s="1"/>
  <c r="Z3" i="3"/>
  <c r="Y3" i="3"/>
  <c r="N3" i="3"/>
  <c r="G3" i="3"/>
  <c r="D1" i="3"/>
  <c r="G40" i="2"/>
  <c r="H40" i="2"/>
  <c r="I40" i="2"/>
  <c r="J40" i="2"/>
  <c r="M40" i="2"/>
  <c r="N40" i="2"/>
  <c r="G160" i="2"/>
  <c r="H160" i="2"/>
  <c r="I160" i="2"/>
  <c r="J160" i="2"/>
  <c r="M160" i="2"/>
  <c r="N160" i="2"/>
  <c r="G136" i="2"/>
  <c r="H136" i="2"/>
  <c r="I136" i="2"/>
  <c r="J136" i="2"/>
  <c r="M136" i="2"/>
  <c r="N136" i="2"/>
  <c r="G64" i="2"/>
  <c r="H64" i="2"/>
  <c r="I64" i="2"/>
  <c r="J64" i="2"/>
  <c r="M64" i="2"/>
  <c r="N64" i="2"/>
  <c r="G112" i="2"/>
  <c r="H112" i="2"/>
  <c r="I112" i="2"/>
  <c r="J112" i="2"/>
  <c r="M112" i="2"/>
  <c r="N112" i="2"/>
  <c r="G182" i="2"/>
  <c r="H182" i="2"/>
  <c r="I182" i="2"/>
  <c r="J182" i="2"/>
  <c r="M182" i="2"/>
  <c r="N182" i="2"/>
  <c r="G88" i="2"/>
  <c r="H88" i="2"/>
  <c r="I88" i="2"/>
  <c r="J88" i="2"/>
  <c r="M88" i="2"/>
  <c r="N88" i="2"/>
  <c r="G17" i="2"/>
  <c r="I17" i="2" s="1"/>
  <c r="H17" i="2"/>
  <c r="M17" i="2"/>
  <c r="N17" i="2"/>
  <c r="G16" i="2"/>
  <c r="H16" i="2"/>
  <c r="I16" i="2"/>
  <c r="J16" i="2"/>
  <c r="M16" i="2"/>
  <c r="N16" i="2"/>
  <c r="G87" i="2"/>
  <c r="H87" i="2"/>
  <c r="I87" i="2"/>
  <c r="J87" i="2"/>
  <c r="M87" i="2"/>
  <c r="N87" i="2"/>
  <c r="G181" i="2"/>
  <c r="H181" i="2"/>
  <c r="I181" i="2"/>
  <c r="J181" i="2"/>
  <c r="M181" i="2"/>
  <c r="N181" i="2"/>
  <c r="G111" i="2"/>
  <c r="H111" i="2"/>
  <c r="I111" i="2"/>
  <c r="J111" i="2"/>
  <c r="M111" i="2"/>
  <c r="N111" i="2"/>
  <c r="G159" i="2"/>
  <c r="H159" i="2"/>
  <c r="I159" i="2"/>
  <c r="J159" i="2"/>
  <c r="M159" i="2"/>
  <c r="N159" i="2"/>
  <c r="G62" i="2"/>
  <c r="G63" i="2"/>
  <c r="H63" i="2"/>
  <c r="I63" i="2"/>
  <c r="J63" i="2"/>
  <c r="M63" i="2"/>
  <c r="N63" i="2"/>
  <c r="G135" i="2"/>
  <c r="I135" i="2" s="1"/>
  <c r="H135" i="2"/>
  <c r="M135" i="2"/>
  <c r="N135" i="2"/>
  <c r="G39" i="2"/>
  <c r="I39" i="2" s="1"/>
  <c r="H39" i="2"/>
  <c r="M39" i="2" s="1"/>
  <c r="N39" i="2"/>
  <c r="G38" i="2"/>
  <c r="H38" i="2"/>
  <c r="I38" i="2"/>
  <c r="J38" i="2"/>
  <c r="M38" i="2"/>
  <c r="N38" i="2"/>
  <c r="G134" i="2"/>
  <c r="H134" i="2"/>
  <c r="I134" i="2"/>
  <c r="J134" i="2"/>
  <c r="M134" i="2"/>
  <c r="N134" i="2"/>
  <c r="G86" i="2"/>
  <c r="H86" i="2"/>
  <c r="I86" i="2"/>
  <c r="J86" i="2"/>
  <c r="M86" i="2"/>
  <c r="N86" i="2"/>
  <c r="G15" i="2"/>
  <c r="H15" i="2"/>
  <c r="I15" i="2" s="1"/>
  <c r="J15" i="2"/>
  <c r="M15" i="2"/>
  <c r="N15" i="2"/>
  <c r="G110" i="2"/>
  <c r="H110" i="2"/>
  <c r="I110" i="2"/>
  <c r="J110" i="2"/>
  <c r="M110" i="2"/>
  <c r="N110" i="2"/>
  <c r="H62" i="2"/>
  <c r="I62" i="2"/>
  <c r="J62" i="2"/>
  <c r="M62" i="2"/>
  <c r="N62" i="2"/>
  <c r="G158" i="2"/>
  <c r="H158" i="2"/>
  <c r="I158" i="2"/>
  <c r="J158" i="2"/>
  <c r="M158" i="2"/>
  <c r="N158" i="2"/>
  <c r="G180" i="2"/>
  <c r="J180" i="2" s="1"/>
  <c r="H180" i="2"/>
  <c r="M180" i="2" s="1"/>
  <c r="N180" i="2"/>
  <c r="G179" i="2"/>
  <c r="H179" i="2"/>
  <c r="I179" i="2"/>
  <c r="J179" i="2"/>
  <c r="M179" i="2"/>
  <c r="N179" i="2"/>
  <c r="G133" i="2"/>
  <c r="H133" i="2"/>
  <c r="I133" i="2"/>
  <c r="J133" i="2"/>
  <c r="M133" i="2"/>
  <c r="N133" i="2"/>
  <c r="G109" i="2"/>
  <c r="H109" i="2"/>
  <c r="I109" i="2"/>
  <c r="J109" i="2"/>
  <c r="M109" i="2"/>
  <c r="N109" i="2"/>
  <c r="G85" i="2"/>
  <c r="H85" i="2"/>
  <c r="I85" i="2"/>
  <c r="J85" i="2"/>
  <c r="M85" i="2"/>
  <c r="N85" i="2"/>
  <c r="G61" i="2"/>
  <c r="H61" i="2"/>
  <c r="I61" i="2"/>
  <c r="J61" i="2"/>
  <c r="M61" i="2"/>
  <c r="N61" i="2"/>
  <c r="G157" i="2"/>
  <c r="H157" i="2"/>
  <c r="J157" i="2" s="1"/>
  <c r="I157" i="2"/>
  <c r="N157" i="2"/>
  <c r="G37" i="2"/>
  <c r="J37" i="2" s="1"/>
  <c r="H37" i="2"/>
  <c r="M37" i="2"/>
  <c r="N37" i="2"/>
  <c r="G14" i="2"/>
  <c r="I14" i="2" s="1"/>
  <c r="H14" i="2"/>
  <c r="M14" i="2" s="1"/>
  <c r="N14" i="2"/>
  <c r="G178" i="2"/>
  <c r="H178" i="2"/>
  <c r="I178" i="2"/>
  <c r="J178" i="2"/>
  <c r="M178" i="2"/>
  <c r="N178" i="2"/>
  <c r="G36" i="2"/>
  <c r="H36" i="2"/>
  <c r="I36" i="2"/>
  <c r="J36" i="2"/>
  <c r="M36" i="2"/>
  <c r="N36" i="2"/>
  <c r="G60" i="2"/>
  <c r="H60" i="2"/>
  <c r="I60" i="2"/>
  <c r="J60" i="2"/>
  <c r="M60" i="2"/>
  <c r="N60" i="2"/>
  <c r="G84" i="2"/>
  <c r="I84" i="2" s="1"/>
  <c r="H84" i="2"/>
  <c r="J84" i="2"/>
  <c r="M84" i="2"/>
  <c r="N84" i="2"/>
  <c r="G132" i="2"/>
  <c r="H132" i="2"/>
  <c r="I132" i="2"/>
  <c r="J132" i="2"/>
  <c r="M132" i="2"/>
  <c r="N132" i="2"/>
  <c r="G108" i="2"/>
  <c r="H108" i="2"/>
  <c r="I108" i="2"/>
  <c r="J108" i="2"/>
  <c r="M108" i="2"/>
  <c r="N108" i="2"/>
  <c r="G156" i="2"/>
  <c r="H156" i="2"/>
  <c r="J156" i="2" s="1"/>
  <c r="I156" i="2"/>
  <c r="N156" i="2"/>
  <c r="G13" i="2"/>
  <c r="I13" i="2" s="1"/>
  <c r="H13" i="2"/>
  <c r="M13" i="2" s="1"/>
  <c r="N13" i="2"/>
  <c r="G59" i="2"/>
  <c r="H59" i="2"/>
  <c r="I59" i="2"/>
  <c r="J59" i="2"/>
  <c r="M59" i="2"/>
  <c r="N59" i="2"/>
  <c r="G131" i="2"/>
  <c r="H131" i="2"/>
  <c r="I131" i="2"/>
  <c r="J131" i="2"/>
  <c r="M131" i="2"/>
  <c r="N131" i="2"/>
  <c r="N154" i="2"/>
  <c r="N155" i="2"/>
  <c r="G155" i="2"/>
  <c r="H155" i="2"/>
  <c r="I155" i="2"/>
  <c r="J155" i="2"/>
  <c r="M155" i="2"/>
  <c r="G12" i="2"/>
  <c r="H12" i="2"/>
  <c r="I12" i="2" s="1"/>
  <c r="J12" i="2"/>
  <c r="M12" i="2"/>
  <c r="N12" i="2"/>
  <c r="G107" i="2"/>
  <c r="H107" i="2"/>
  <c r="I107" i="2"/>
  <c r="J107" i="2"/>
  <c r="M107" i="2"/>
  <c r="N107" i="2"/>
  <c r="G35" i="2"/>
  <c r="H35" i="2"/>
  <c r="I35" i="2"/>
  <c r="J35" i="2"/>
  <c r="M35" i="2"/>
  <c r="N35" i="2"/>
  <c r="G177" i="2"/>
  <c r="H177" i="2"/>
  <c r="J177" i="2" s="1"/>
  <c r="I177" i="2"/>
  <c r="N177" i="2"/>
  <c r="G83" i="2"/>
  <c r="J83" i="2" s="1"/>
  <c r="H83" i="2"/>
  <c r="M83" i="2" s="1"/>
  <c r="N83" i="2"/>
  <c r="G82" i="2"/>
  <c r="H82" i="2"/>
  <c r="I82" i="2"/>
  <c r="J82" i="2"/>
  <c r="M82" i="2"/>
  <c r="N82" i="2"/>
  <c r="G106" i="2"/>
  <c r="H106" i="2"/>
  <c r="I106" i="2"/>
  <c r="J106" i="2"/>
  <c r="M106" i="2"/>
  <c r="N106" i="2"/>
  <c r="G130" i="2"/>
  <c r="H130" i="2"/>
  <c r="I130" i="2"/>
  <c r="J130" i="2"/>
  <c r="M130" i="2"/>
  <c r="N130" i="2"/>
  <c r="G11" i="2"/>
  <c r="H11" i="2"/>
  <c r="I11" i="2"/>
  <c r="J11" i="2"/>
  <c r="M11" i="2"/>
  <c r="N11" i="2"/>
  <c r="G154" i="2"/>
  <c r="H154" i="2"/>
  <c r="J154" i="2" s="1"/>
  <c r="I154" i="2"/>
  <c r="G58" i="2"/>
  <c r="H58" i="2"/>
  <c r="I58" i="2"/>
  <c r="J58" i="2"/>
  <c r="M58" i="2"/>
  <c r="N58" i="2"/>
  <c r="G34" i="2"/>
  <c r="H34" i="2"/>
  <c r="I34" i="2"/>
  <c r="J34" i="2"/>
  <c r="M34" i="2"/>
  <c r="N34" i="2"/>
  <c r="G176" i="2"/>
  <c r="I176" i="2" s="1"/>
  <c r="H176" i="2"/>
  <c r="M176" i="2" s="1"/>
  <c r="N176" i="2"/>
  <c r="G81" i="2"/>
  <c r="H81" i="2"/>
  <c r="I81" i="2"/>
  <c r="J81" i="2"/>
  <c r="M81" i="2"/>
  <c r="N81" i="2"/>
  <c r="G105" i="2"/>
  <c r="H105" i="2"/>
  <c r="I105" i="2"/>
  <c r="J105" i="2"/>
  <c r="M105" i="2"/>
  <c r="N105" i="2"/>
  <c r="N172" i="2"/>
  <c r="N173" i="2"/>
  <c r="N174" i="2"/>
  <c r="N175" i="2"/>
  <c r="N171" i="2"/>
  <c r="G175" i="2"/>
  <c r="H175" i="2"/>
  <c r="I175" i="2"/>
  <c r="J175" i="2"/>
  <c r="M175" i="2"/>
  <c r="G153" i="2"/>
  <c r="H153" i="2"/>
  <c r="I153" i="2"/>
  <c r="J153" i="2"/>
  <c r="M153" i="2"/>
  <c r="N153" i="2"/>
  <c r="G33" i="2"/>
  <c r="H33" i="2"/>
  <c r="I33" i="2"/>
  <c r="J33" i="2"/>
  <c r="M33" i="2"/>
  <c r="N33" i="2"/>
  <c r="G57" i="2"/>
  <c r="H57" i="2"/>
  <c r="I57" i="2"/>
  <c r="J57" i="2"/>
  <c r="M57" i="2"/>
  <c r="N57" i="2"/>
  <c r="G129" i="2"/>
  <c r="H129" i="2"/>
  <c r="I129" i="2"/>
  <c r="J129" i="2"/>
  <c r="M129" i="2"/>
  <c r="N129" i="2"/>
  <c r="G10" i="2"/>
  <c r="H10" i="2"/>
  <c r="M10" i="2" s="1"/>
  <c r="N10" i="2"/>
  <c r="G32" i="2"/>
  <c r="H32" i="2"/>
  <c r="I32" i="2"/>
  <c r="J32" i="2"/>
  <c r="M32" i="2"/>
  <c r="N32" i="2"/>
  <c r="G80" i="2"/>
  <c r="H80" i="2"/>
  <c r="I80" i="2"/>
  <c r="J80" i="2"/>
  <c r="M80" i="2"/>
  <c r="N80" i="2"/>
  <c r="G56" i="2"/>
  <c r="H56" i="2"/>
  <c r="J56" i="2" s="1"/>
  <c r="I56" i="2"/>
  <c r="N56" i="2"/>
  <c r="G174" i="2"/>
  <c r="H174" i="2"/>
  <c r="I174" i="2"/>
  <c r="J174" i="2"/>
  <c r="M174" i="2"/>
  <c r="G152" i="2"/>
  <c r="H152" i="2"/>
  <c r="I152" i="2"/>
  <c r="J152" i="2"/>
  <c r="M152" i="2"/>
  <c r="N152" i="2"/>
  <c r="G128" i="2"/>
  <c r="I128" i="2" s="1"/>
  <c r="H128" i="2"/>
  <c r="J128" i="2" s="1"/>
  <c r="M128" i="2"/>
  <c r="N128" i="2"/>
  <c r="N4" i="2"/>
  <c r="N5" i="2"/>
  <c r="N6" i="2"/>
  <c r="N7" i="2"/>
  <c r="N8" i="2"/>
  <c r="N9" i="2"/>
  <c r="N3" i="2"/>
  <c r="G9" i="2"/>
  <c r="H9" i="2"/>
  <c r="I9" i="2"/>
  <c r="J9" i="2"/>
  <c r="M9" i="2"/>
  <c r="G104" i="2"/>
  <c r="K99" i="2" s="1" a="1"/>
  <c r="K99" i="2" s="1"/>
  <c r="H104" i="2"/>
  <c r="M104" i="2" s="1"/>
  <c r="N104" i="2"/>
  <c r="M79" i="2"/>
  <c r="N79" i="2"/>
  <c r="G79" i="2"/>
  <c r="H79" i="2"/>
  <c r="I79" i="2"/>
  <c r="J79" i="2"/>
  <c r="M127" i="2"/>
  <c r="G127" i="2"/>
  <c r="H127" i="2"/>
  <c r="I127" i="2"/>
  <c r="J127" i="2"/>
  <c r="N127" i="2"/>
  <c r="M55" i="2"/>
  <c r="N55" i="2"/>
  <c r="G55" i="2"/>
  <c r="H55" i="2"/>
  <c r="I55" i="2"/>
  <c r="J55" i="2"/>
  <c r="M103" i="2"/>
  <c r="G103" i="2"/>
  <c r="H103" i="2"/>
  <c r="I103" i="2"/>
  <c r="J103" i="2"/>
  <c r="N103" i="2"/>
  <c r="M173" i="2"/>
  <c r="G173" i="2"/>
  <c r="H173" i="2"/>
  <c r="I173" i="2"/>
  <c r="J173" i="2"/>
  <c r="M151" i="2"/>
  <c r="N151" i="2"/>
  <c r="G151" i="2"/>
  <c r="H151" i="2"/>
  <c r="I151" i="2"/>
  <c r="J151" i="2"/>
  <c r="M8" i="2"/>
  <c r="J5" i="2"/>
  <c r="J6" i="2"/>
  <c r="J7" i="2"/>
  <c r="J8" i="2"/>
  <c r="J4" i="2"/>
  <c r="I5" i="2"/>
  <c r="I6" i="2"/>
  <c r="I7" i="2"/>
  <c r="I8" i="2"/>
  <c r="I4" i="2"/>
  <c r="G8" i="2"/>
  <c r="H8" i="2"/>
  <c r="M31" i="2"/>
  <c r="N31" i="2"/>
  <c r="G31" i="2"/>
  <c r="I31" i="2" s="1"/>
  <c r="H31" i="2"/>
  <c r="M172" i="2"/>
  <c r="G172" i="2"/>
  <c r="N150" i="2"/>
  <c r="M149" i="2"/>
  <c r="M150" i="2"/>
  <c r="G150" i="2"/>
  <c r="H150" i="2"/>
  <c r="I150" i="2"/>
  <c r="J150" i="2"/>
  <c r="M101" i="2"/>
  <c r="M102" i="2"/>
  <c r="N102" i="2"/>
  <c r="G102" i="2"/>
  <c r="H102" i="2"/>
  <c r="I102" i="2"/>
  <c r="J102" i="2"/>
  <c r="N126" i="2"/>
  <c r="M125" i="2"/>
  <c r="M126" i="2"/>
  <c r="G126" i="2"/>
  <c r="H126" i="2"/>
  <c r="I126" i="2"/>
  <c r="J126" i="2"/>
  <c r="N78" i="2"/>
  <c r="M77" i="2"/>
  <c r="M78" i="2"/>
  <c r="G78" i="2"/>
  <c r="I78" i="2" s="1"/>
  <c r="H78" i="2"/>
  <c r="N54" i="2"/>
  <c r="M53" i="2"/>
  <c r="M54" i="2"/>
  <c r="G54" i="2"/>
  <c r="I54" i="2" s="1"/>
  <c r="H54" i="2"/>
  <c r="N30" i="2"/>
  <c r="M29" i="2"/>
  <c r="M30" i="2"/>
  <c r="G30" i="2"/>
  <c r="H30" i="2"/>
  <c r="I30" i="2"/>
  <c r="J30" i="2"/>
  <c r="M7" i="2"/>
  <c r="H7" i="2"/>
  <c r="G7" i="2"/>
  <c r="N149" i="2"/>
  <c r="N125" i="2"/>
  <c r="N101" i="2"/>
  <c r="N77" i="2"/>
  <c r="N53" i="2"/>
  <c r="N28" i="2"/>
  <c r="N29" i="2"/>
  <c r="L171" i="1"/>
  <c r="G149" i="2"/>
  <c r="H149" i="2"/>
  <c r="I149" i="2"/>
  <c r="J149" i="2"/>
  <c r="G125" i="2"/>
  <c r="H125" i="2"/>
  <c r="G101" i="2"/>
  <c r="H101" i="2"/>
  <c r="I101" i="2"/>
  <c r="J101" i="2"/>
  <c r="G77" i="2"/>
  <c r="H77" i="2"/>
  <c r="I77" i="2"/>
  <c r="J77" i="2"/>
  <c r="G53" i="2"/>
  <c r="H53" i="2"/>
  <c r="I53" i="2"/>
  <c r="J53" i="2"/>
  <c r="M6" i="2"/>
  <c r="G29" i="2"/>
  <c r="H29" i="2"/>
  <c r="I29" i="2"/>
  <c r="J29" i="2"/>
  <c r="G6" i="2"/>
  <c r="H6" i="2"/>
  <c r="N123" i="2"/>
  <c r="AA5" i="2"/>
  <c r="AA6" i="2"/>
  <c r="AA7" i="2"/>
  <c r="AA8" i="2"/>
  <c r="AA9" i="2"/>
  <c r="AA10" i="2"/>
  <c r="Z4" i="2"/>
  <c r="Z5" i="2"/>
  <c r="Z6" i="2"/>
  <c r="Z7" i="2"/>
  <c r="Z8" i="2"/>
  <c r="Z9" i="2"/>
  <c r="Z10" i="2"/>
  <c r="Z3" i="2"/>
  <c r="Y10" i="2"/>
  <c r="Y9" i="2"/>
  <c r="Y8" i="2"/>
  <c r="Y7" i="2"/>
  <c r="Y6" i="2"/>
  <c r="Y5" i="2"/>
  <c r="Y4" i="2"/>
  <c r="AA4" i="2" s="1"/>
  <c r="M172" i="1"/>
  <c r="M173" i="1" s="1"/>
  <c r="H5" i="2"/>
  <c r="G5" i="2"/>
  <c r="H173" i="1"/>
  <c r="I173" i="1"/>
  <c r="J173" i="1"/>
  <c r="G173" i="1"/>
  <c r="G172" i="1"/>
  <c r="H4" i="2"/>
  <c r="G4" i="2"/>
  <c r="A11" i="1"/>
  <c r="A11" i="2"/>
  <c r="G3" i="2"/>
  <c r="D225" i="2"/>
  <c r="J172" i="1"/>
  <c r="H172" i="1"/>
  <c r="G171" i="1"/>
  <c r="I172" i="1" s="1"/>
  <c r="D169" i="1"/>
  <c r="H172" i="2"/>
  <c r="G171" i="2"/>
  <c r="I172" i="2" s="1"/>
  <c r="D169" i="2"/>
  <c r="H141" i="1"/>
  <c r="I141" i="1"/>
  <c r="J141" i="1"/>
  <c r="M141" i="1"/>
  <c r="N141" i="1"/>
  <c r="G141" i="1"/>
  <c r="H117" i="1"/>
  <c r="M117" i="1" s="1"/>
  <c r="I117" i="1"/>
  <c r="N117" i="1"/>
  <c r="G117" i="1"/>
  <c r="H69" i="1"/>
  <c r="J69" i="1" s="1"/>
  <c r="I69" i="1"/>
  <c r="N69" i="1"/>
  <c r="G69" i="1"/>
  <c r="H93" i="1"/>
  <c r="J93" i="1" s="1"/>
  <c r="I93" i="1"/>
  <c r="N93" i="1"/>
  <c r="G93" i="1"/>
  <c r="H165" i="1"/>
  <c r="M165" i="1" s="1"/>
  <c r="I165" i="1"/>
  <c r="J165" i="1"/>
  <c r="N165" i="1"/>
  <c r="G165" i="1"/>
  <c r="H45" i="1"/>
  <c r="J45" i="1" s="1"/>
  <c r="I45" i="1"/>
  <c r="M45" i="1"/>
  <c r="N45" i="1"/>
  <c r="G45" i="1"/>
  <c r="D223" i="2"/>
  <c r="D224" i="2"/>
  <c r="H164" i="1"/>
  <c r="I164" i="1"/>
  <c r="J164" i="1"/>
  <c r="M164" i="1"/>
  <c r="N164" i="1"/>
  <c r="G164" i="1"/>
  <c r="H140" i="1"/>
  <c r="I140" i="1"/>
  <c r="J140" i="1"/>
  <c r="M140" i="1"/>
  <c r="N140" i="1"/>
  <c r="G140" i="1"/>
  <c r="H116" i="1"/>
  <c r="I116" i="1"/>
  <c r="J116" i="1"/>
  <c r="M116" i="1"/>
  <c r="N116" i="1"/>
  <c r="G116" i="1"/>
  <c r="H92" i="1"/>
  <c r="I92" i="1"/>
  <c r="J92" i="1"/>
  <c r="M92" i="1"/>
  <c r="N92" i="1"/>
  <c r="G92" i="1"/>
  <c r="H68" i="1"/>
  <c r="I68" i="1"/>
  <c r="J68" i="1"/>
  <c r="M68" i="1"/>
  <c r="N68" i="1"/>
  <c r="G68" i="1"/>
  <c r="H44" i="1"/>
  <c r="I44" i="1"/>
  <c r="J44" i="1"/>
  <c r="M44" i="1"/>
  <c r="N44" i="1"/>
  <c r="G44" i="1"/>
  <c r="G52" i="2"/>
  <c r="N148" i="2"/>
  <c r="H148" i="2"/>
  <c r="M148" i="2" s="1"/>
  <c r="G148" i="2"/>
  <c r="N147" i="2"/>
  <c r="G147" i="2"/>
  <c r="D145" i="2"/>
  <c r="N124" i="2"/>
  <c r="H124" i="2"/>
  <c r="M124" i="2" s="1"/>
  <c r="G124" i="2"/>
  <c r="I125" i="2" s="1"/>
  <c r="G123" i="2"/>
  <c r="D121" i="2"/>
  <c r="N100" i="2"/>
  <c r="H100" i="2"/>
  <c r="G100" i="2"/>
  <c r="N99" i="2"/>
  <c r="G99" i="2"/>
  <c r="D97" i="2"/>
  <c r="N76" i="2"/>
  <c r="H76" i="2"/>
  <c r="M76" i="2" s="1"/>
  <c r="G76" i="2"/>
  <c r="N75" i="2"/>
  <c r="G75" i="2"/>
  <c r="D73" i="2"/>
  <c r="N52" i="2"/>
  <c r="H52" i="2"/>
  <c r="M52" i="2" s="1"/>
  <c r="N51" i="2"/>
  <c r="G51" i="2"/>
  <c r="D49" i="2"/>
  <c r="H28" i="2"/>
  <c r="M28" i="2" s="1"/>
  <c r="G28" i="2"/>
  <c r="N27" i="2"/>
  <c r="G27" i="2"/>
  <c r="D25" i="2"/>
  <c r="A18" i="2"/>
  <c r="A17" i="2"/>
  <c r="A16" i="2"/>
  <c r="A15" i="2"/>
  <c r="A14" i="2"/>
  <c r="A13" i="2"/>
  <c r="A12" i="2"/>
  <c r="D222" i="2"/>
  <c r="M4" i="2"/>
  <c r="D221" i="2"/>
  <c r="D220" i="2"/>
  <c r="D1" i="2"/>
  <c r="G27" i="1"/>
  <c r="N27" i="1"/>
  <c r="G28" i="1"/>
  <c r="H28" i="1"/>
  <c r="I28" i="1"/>
  <c r="J28" i="1"/>
  <c r="M28" i="1"/>
  <c r="N28" i="1"/>
  <c r="G29" i="1"/>
  <c r="I30" i="1" s="1"/>
  <c r="H29" i="1"/>
  <c r="I29" i="1"/>
  <c r="J29" i="1"/>
  <c r="M29" i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N29" i="1"/>
  <c r="G30" i="1"/>
  <c r="J30" i="1" s="1"/>
  <c r="H30" i="1"/>
  <c r="N30" i="1"/>
  <c r="G31" i="1"/>
  <c r="H31" i="1"/>
  <c r="I31" i="1"/>
  <c r="J31" i="1"/>
  <c r="N31" i="1"/>
  <c r="G32" i="1"/>
  <c r="I33" i="1" s="1"/>
  <c r="H32" i="1"/>
  <c r="I32" i="1"/>
  <c r="J32" i="1"/>
  <c r="N32" i="1"/>
  <c r="G33" i="1"/>
  <c r="J33" i="1" s="1"/>
  <c r="H33" i="1"/>
  <c r="N33" i="1"/>
  <c r="G34" i="1"/>
  <c r="H34" i="1"/>
  <c r="I34" i="1"/>
  <c r="J34" i="1"/>
  <c r="N34" i="1"/>
  <c r="G35" i="1"/>
  <c r="H35" i="1"/>
  <c r="I35" i="1"/>
  <c r="J35" i="1"/>
  <c r="N35" i="1"/>
  <c r="G36" i="1"/>
  <c r="I36" i="1" s="1"/>
  <c r="H36" i="1"/>
  <c r="N36" i="1"/>
  <c r="G37" i="1"/>
  <c r="H37" i="1"/>
  <c r="N37" i="1"/>
  <c r="G38" i="1"/>
  <c r="H38" i="1"/>
  <c r="I38" i="1"/>
  <c r="J38" i="1"/>
  <c r="N38" i="1"/>
  <c r="G39" i="1"/>
  <c r="J40" i="1" s="1"/>
  <c r="H39" i="1"/>
  <c r="I39" i="1"/>
  <c r="J39" i="1"/>
  <c r="N39" i="1"/>
  <c r="G40" i="1"/>
  <c r="I40" i="1" s="1"/>
  <c r="H40" i="1"/>
  <c r="N40" i="1"/>
  <c r="G41" i="1"/>
  <c r="H41" i="1"/>
  <c r="I41" i="1"/>
  <c r="J41" i="1"/>
  <c r="N41" i="1"/>
  <c r="G42" i="1"/>
  <c r="I43" i="1" s="1"/>
  <c r="H42" i="1"/>
  <c r="I42" i="1"/>
  <c r="J42" i="1"/>
  <c r="N42" i="1"/>
  <c r="G43" i="1"/>
  <c r="H43" i="1"/>
  <c r="N43" i="1"/>
  <c r="G51" i="1"/>
  <c r="N51" i="1"/>
  <c r="G52" i="1"/>
  <c r="H52" i="1"/>
  <c r="I52" i="1"/>
  <c r="J52" i="1"/>
  <c r="M52" i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N52" i="1"/>
  <c r="G53" i="1"/>
  <c r="J53" i="1" s="1"/>
  <c r="H53" i="1"/>
  <c r="I53" i="1"/>
  <c r="N53" i="1"/>
  <c r="G54" i="1"/>
  <c r="H54" i="1"/>
  <c r="N54" i="1"/>
  <c r="G55" i="1"/>
  <c r="H55" i="1"/>
  <c r="I55" i="1"/>
  <c r="J55" i="1"/>
  <c r="N55" i="1"/>
  <c r="G56" i="1"/>
  <c r="J56" i="1" s="1"/>
  <c r="H56" i="1"/>
  <c r="I56" i="1"/>
  <c r="N56" i="1"/>
  <c r="G57" i="1"/>
  <c r="H57" i="1"/>
  <c r="N57" i="1"/>
  <c r="G58" i="1"/>
  <c r="H58" i="1"/>
  <c r="I58" i="1"/>
  <c r="J58" i="1"/>
  <c r="N58" i="1"/>
  <c r="G59" i="1"/>
  <c r="H59" i="1"/>
  <c r="I59" i="1"/>
  <c r="J59" i="1"/>
  <c r="N59" i="1"/>
  <c r="G60" i="1"/>
  <c r="I60" i="1" s="1"/>
  <c r="H60" i="1"/>
  <c r="N60" i="1"/>
  <c r="G61" i="1"/>
  <c r="H61" i="1"/>
  <c r="I61" i="1"/>
  <c r="J61" i="1"/>
  <c r="N61" i="1"/>
  <c r="G62" i="1"/>
  <c r="H62" i="1"/>
  <c r="I62" i="1"/>
  <c r="J62" i="1"/>
  <c r="N62" i="1"/>
  <c r="G63" i="1"/>
  <c r="J64" i="1" s="1"/>
  <c r="H63" i="1"/>
  <c r="N63" i="1"/>
  <c r="G64" i="1"/>
  <c r="H64" i="1"/>
  <c r="N64" i="1"/>
  <c r="G65" i="1"/>
  <c r="H65" i="1"/>
  <c r="I65" i="1"/>
  <c r="J65" i="1"/>
  <c r="N65" i="1"/>
  <c r="G66" i="1"/>
  <c r="J66" i="1" s="1"/>
  <c r="H66" i="1"/>
  <c r="I66" i="1"/>
  <c r="N66" i="1"/>
  <c r="G67" i="1"/>
  <c r="H67" i="1"/>
  <c r="N67" i="1"/>
  <c r="D73" i="1"/>
  <c r="G75" i="1"/>
  <c r="N75" i="1"/>
  <c r="G76" i="1"/>
  <c r="L75" i="1" s="1"/>
  <c r="H76" i="1"/>
  <c r="I76" i="1"/>
  <c r="J76" i="1"/>
  <c r="M76" i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N76" i="1"/>
  <c r="G77" i="1"/>
  <c r="H77" i="1"/>
  <c r="N77" i="1"/>
  <c r="G78" i="1"/>
  <c r="H78" i="1"/>
  <c r="I78" i="1"/>
  <c r="J78" i="1"/>
  <c r="N78" i="1"/>
  <c r="G79" i="1"/>
  <c r="I80" i="1" s="1"/>
  <c r="H79" i="1"/>
  <c r="I79" i="1"/>
  <c r="J79" i="1"/>
  <c r="N79" i="1"/>
  <c r="G80" i="1"/>
  <c r="H80" i="1"/>
  <c r="N80" i="1"/>
  <c r="G81" i="1"/>
  <c r="H81" i="1"/>
  <c r="I81" i="1"/>
  <c r="J81" i="1"/>
  <c r="N81" i="1"/>
  <c r="G82" i="1"/>
  <c r="H82" i="1"/>
  <c r="I82" i="1"/>
  <c r="J82" i="1"/>
  <c r="N82" i="1"/>
  <c r="G83" i="1"/>
  <c r="I83" i="1" s="1"/>
  <c r="H83" i="1"/>
  <c r="N83" i="1"/>
  <c r="G84" i="1"/>
  <c r="H84" i="1"/>
  <c r="N84" i="1"/>
  <c r="G85" i="1"/>
  <c r="H85" i="1"/>
  <c r="I85" i="1"/>
  <c r="J85" i="1"/>
  <c r="N85" i="1"/>
  <c r="G86" i="1"/>
  <c r="J87" i="1" s="1"/>
  <c r="H86" i="1"/>
  <c r="I86" i="1"/>
  <c r="J86" i="1"/>
  <c r="N86" i="1"/>
  <c r="G87" i="1"/>
  <c r="I87" i="1" s="1"/>
  <c r="H87" i="1"/>
  <c r="N87" i="1"/>
  <c r="G88" i="1"/>
  <c r="H88" i="1"/>
  <c r="I88" i="1"/>
  <c r="J88" i="1"/>
  <c r="N88" i="1"/>
  <c r="G89" i="1"/>
  <c r="I90" i="1" s="1"/>
  <c r="H89" i="1"/>
  <c r="I89" i="1"/>
  <c r="J89" i="1"/>
  <c r="N89" i="1"/>
  <c r="G90" i="1"/>
  <c r="H90" i="1"/>
  <c r="N90" i="1"/>
  <c r="G91" i="1"/>
  <c r="H91" i="1"/>
  <c r="I91" i="1"/>
  <c r="J91" i="1"/>
  <c r="N91" i="1"/>
  <c r="D97" i="1"/>
  <c r="G99" i="1"/>
  <c r="N99" i="1"/>
  <c r="G100" i="1"/>
  <c r="J100" i="1" s="1"/>
  <c r="H100" i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I100" i="1"/>
  <c r="N100" i="1"/>
  <c r="G101" i="1"/>
  <c r="H101" i="1"/>
  <c r="N101" i="1"/>
  <c r="G102" i="1"/>
  <c r="H102" i="1"/>
  <c r="I102" i="1"/>
  <c r="J102" i="1"/>
  <c r="N102" i="1"/>
  <c r="G103" i="1"/>
  <c r="J103" i="1" s="1"/>
  <c r="H103" i="1"/>
  <c r="I103" i="1"/>
  <c r="N103" i="1"/>
  <c r="G104" i="1"/>
  <c r="H104" i="1"/>
  <c r="N104" i="1"/>
  <c r="G105" i="1"/>
  <c r="H105" i="1"/>
  <c r="I105" i="1"/>
  <c r="J105" i="1"/>
  <c r="N105" i="1"/>
  <c r="G106" i="1"/>
  <c r="I107" i="1" s="1"/>
  <c r="H106" i="1"/>
  <c r="I106" i="1"/>
  <c r="J106" i="1"/>
  <c r="N106" i="1"/>
  <c r="G107" i="1"/>
  <c r="J107" i="1" s="1"/>
  <c r="H107" i="1"/>
  <c r="N107" i="1"/>
  <c r="G108" i="1"/>
  <c r="H108" i="1"/>
  <c r="I108" i="1"/>
  <c r="J108" i="1"/>
  <c r="N108" i="1"/>
  <c r="G109" i="1"/>
  <c r="H109" i="1"/>
  <c r="I109" i="1"/>
  <c r="J109" i="1"/>
  <c r="N109" i="1"/>
  <c r="G110" i="1"/>
  <c r="J111" i="1" s="1"/>
  <c r="H110" i="1"/>
  <c r="N110" i="1"/>
  <c r="G111" i="1"/>
  <c r="H111" i="1"/>
  <c r="N111" i="1"/>
  <c r="G112" i="1"/>
  <c r="H112" i="1"/>
  <c r="I112" i="1"/>
  <c r="J112" i="1"/>
  <c r="N112" i="1"/>
  <c r="G113" i="1"/>
  <c r="J113" i="1" s="1"/>
  <c r="H113" i="1"/>
  <c r="I113" i="1"/>
  <c r="N113" i="1"/>
  <c r="G114" i="1"/>
  <c r="H114" i="1"/>
  <c r="N114" i="1"/>
  <c r="G115" i="1"/>
  <c r="H115" i="1"/>
  <c r="I115" i="1"/>
  <c r="J115" i="1"/>
  <c r="N115" i="1"/>
  <c r="D121" i="1"/>
  <c r="G123" i="1"/>
  <c r="G124" i="1"/>
  <c r="K123" i="1" s="1"/>
  <c r="H124" i="1"/>
  <c r="M124" i="1"/>
  <c r="N124" i="1"/>
  <c r="G125" i="1"/>
  <c r="H125" i="1"/>
  <c r="M125" i="1"/>
  <c r="N125" i="1"/>
  <c r="G126" i="1"/>
  <c r="H126" i="1"/>
  <c r="I126" i="1"/>
  <c r="J126" i="1"/>
  <c r="M126" i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N126" i="1"/>
  <c r="G127" i="1"/>
  <c r="J128" i="1" s="1"/>
  <c r="H127" i="1"/>
  <c r="N127" i="1"/>
  <c r="G128" i="1"/>
  <c r="H128" i="1"/>
  <c r="N128" i="1"/>
  <c r="G129" i="1"/>
  <c r="H129" i="1"/>
  <c r="I129" i="1"/>
  <c r="J129" i="1"/>
  <c r="N129" i="1"/>
  <c r="G130" i="1"/>
  <c r="J130" i="1" s="1"/>
  <c r="H130" i="1"/>
  <c r="I130" i="1"/>
  <c r="N130" i="1"/>
  <c r="G131" i="1"/>
  <c r="H131" i="1"/>
  <c r="N131" i="1"/>
  <c r="G132" i="1"/>
  <c r="H132" i="1"/>
  <c r="I132" i="1"/>
  <c r="J132" i="1"/>
  <c r="N132" i="1"/>
  <c r="G133" i="1"/>
  <c r="I134" i="1" s="1"/>
  <c r="H133" i="1"/>
  <c r="I133" i="1"/>
  <c r="J133" i="1"/>
  <c r="N133" i="1"/>
  <c r="G134" i="1"/>
  <c r="J134" i="1" s="1"/>
  <c r="H134" i="1"/>
  <c r="N134" i="1"/>
  <c r="G135" i="1"/>
  <c r="H135" i="1"/>
  <c r="I135" i="1"/>
  <c r="J135" i="1"/>
  <c r="N135" i="1"/>
  <c r="G136" i="1"/>
  <c r="H136" i="1"/>
  <c r="I136" i="1"/>
  <c r="J136" i="1"/>
  <c r="N136" i="1"/>
  <c r="G137" i="1"/>
  <c r="I137" i="1" s="1"/>
  <c r="H137" i="1"/>
  <c r="N137" i="1"/>
  <c r="G138" i="1"/>
  <c r="H138" i="1"/>
  <c r="N138" i="1"/>
  <c r="G139" i="1"/>
  <c r="H139" i="1"/>
  <c r="I139" i="1"/>
  <c r="J139" i="1"/>
  <c r="N139" i="1"/>
  <c r="D145" i="1"/>
  <c r="G147" i="1"/>
  <c r="N147" i="1"/>
  <c r="G148" i="1"/>
  <c r="I148" i="1" s="1"/>
  <c r="H148" i="1"/>
  <c r="M148" i="1"/>
  <c r="N148" i="1"/>
  <c r="G149" i="1"/>
  <c r="H149" i="1"/>
  <c r="I149" i="1"/>
  <c r="J149" i="1"/>
  <c r="M149" i="1"/>
  <c r="N149" i="1"/>
  <c r="G150" i="1"/>
  <c r="I151" i="1" s="1"/>
  <c r="H150" i="1"/>
  <c r="I150" i="1"/>
  <c r="J150" i="1"/>
  <c r="M150" i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N150" i="1"/>
  <c r="G151" i="1"/>
  <c r="H151" i="1"/>
  <c r="N151" i="1"/>
  <c r="G152" i="1"/>
  <c r="H152" i="1"/>
  <c r="I152" i="1"/>
  <c r="J152" i="1"/>
  <c r="N152" i="1"/>
  <c r="G153" i="1"/>
  <c r="H153" i="1"/>
  <c r="I153" i="1"/>
  <c r="J153" i="1"/>
  <c r="N153" i="1"/>
  <c r="G154" i="1"/>
  <c r="I154" i="1" s="1"/>
  <c r="H154" i="1"/>
  <c r="N154" i="1"/>
  <c r="G155" i="1"/>
  <c r="H155" i="1"/>
  <c r="N155" i="1"/>
  <c r="G156" i="1"/>
  <c r="H156" i="1"/>
  <c r="I156" i="1"/>
  <c r="J156" i="1"/>
  <c r="N156" i="1"/>
  <c r="G157" i="1"/>
  <c r="J158" i="1" s="1"/>
  <c r="H157" i="1"/>
  <c r="I157" i="1"/>
  <c r="J157" i="1"/>
  <c r="N157" i="1"/>
  <c r="G158" i="1"/>
  <c r="I158" i="1" s="1"/>
  <c r="H158" i="1"/>
  <c r="N158" i="1"/>
  <c r="G159" i="1"/>
  <c r="H159" i="1"/>
  <c r="I159" i="1"/>
  <c r="J159" i="1"/>
  <c r="N159" i="1"/>
  <c r="G160" i="1"/>
  <c r="I161" i="1" s="1"/>
  <c r="H160" i="1"/>
  <c r="I160" i="1"/>
  <c r="J160" i="1"/>
  <c r="N160" i="1"/>
  <c r="G161" i="1"/>
  <c r="H161" i="1"/>
  <c r="N161" i="1"/>
  <c r="G162" i="1"/>
  <c r="H162" i="1"/>
  <c r="I162" i="1"/>
  <c r="J162" i="1"/>
  <c r="N162" i="1"/>
  <c r="G163" i="1"/>
  <c r="H163" i="1"/>
  <c r="I163" i="1"/>
  <c r="J163" i="1"/>
  <c r="N163" i="1"/>
  <c r="H19" i="1"/>
  <c r="I19" i="1"/>
  <c r="J19" i="1"/>
  <c r="M19" i="1"/>
  <c r="N19" i="1"/>
  <c r="G19" i="1"/>
  <c r="K6" i="1" s="1"/>
  <c r="N16" i="1"/>
  <c r="N17" i="1"/>
  <c r="N18" i="1"/>
  <c r="H18" i="1"/>
  <c r="I18" i="1"/>
  <c r="J18" i="1"/>
  <c r="M18" i="1"/>
  <c r="G18" i="1"/>
  <c r="A18" i="1"/>
  <c r="A17" i="1"/>
  <c r="A16" i="1"/>
  <c r="A15" i="1"/>
  <c r="A14" i="1"/>
  <c r="A13" i="1"/>
  <c r="A12" i="1"/>
  <c r="H17" i="1"/>
  <c r="I17" i="1" s="1"/>
  <c r="G17" i="1"/>
  <c r="H16" i="1"/>
  <c r="G16" i="1"/>
  <c r="J16" i="1" s="1"/>
  <c r="G8" i="1"/>
  <c r="H15" i="1"/>
  <c r="N15" i="1"/>
  <c r="G15" i="1"/>
  <c r="H14" i="1"/>
  <c r="G14" i="1"/>
  <c r="N14" i="1"/>
  <c r="H13" i="1"/>
  <c r="N13" i="1"/>
  <c r="G13" i="1"/>
  <c r="N4" i="1"/>
  <c r="N5" i="1"/>
  <c r="N6" i="1"/>
  <c r="N7" i="1"/>
  <c r="N8" i="1"/>
  <c r="N9" i="1"/>
  <c r="N10" i="1"/>
  <c r="N11" i="1"/>
  <c r="N12" i="1"/>
  <c r="N3" i="1"/>
  <c r="H5" i="1"/>
  <c r="H6" i="1"/>
  <c r="H7" i="1"/>
  <c r="H8" i="1"/>
  <c r="H9" i="1"/>
  <c r="J9" i="1" s="1"/>
  <c r="H10" i="1"/>
  <c r="H11" i="1"/>
  <c r="H12" i="1"/>
  <c r="H4" i="1"/>
  <c r="M4" i="1" s="1"/>
  <c r="M5" i="1" s="1"/>
  <c r="M6" i="1" s="1"/>
  <c r="M7" i="1" s="1"/>
  <c r="M8" i="1" s="1"/>
  <c r="M9" i="1" s="1"/>
  <c r="M10" i="1" s="1"/>
  <c r="M11" i="1" s="1"/>
  <c r="M12" i="1" s="1"/>
  <c r="G3" i="1"/>
  <c r="G12" i="1"/>
  <c r="G11" i="1"/>
  <c r="G10" i="1"/>
  <c r="G9" i="1"/>
  <c r="G7" i="1"/>
  <c r="G6" i="1"/>
  <c r="G5" i="1"/>
  <c r="I5" i="1" s="1"/>
  <c r="G4" i="1"/>
  <c r="D1" i="1"/>
  <c r="I61" i="3" l="1"/>
  <c r="I32" i="3"/>
  <c r="I269" i="3"/>
  <c r="I30" i="3"/>
  <c r="J135" i="3"/>
  <c r="J33" i="3"/>
  <c r="J29" i="3"/>
  <c r="I33" i="3"/>
  <c r="J265" i="3"/>
  <c r="I165" i="3"/>
  <c r="J163" i="3"/>
  <c r="I66" i="3"/>
  <c r="J67" i="3"/>
  <c r="J229" i="3"/>
  <c r="I62" i="3"/>
  <c r="I67" i="3"/>
  <c r="I229" i="3"/>
  <c r="I164" i="3"/>
  <c r="J96" i="3"/>
  <c r="I97" i="3"/>
  <c r="I115" i="3"/>
  <c r="I101" i="3"/>
  <c r="J30" i="3"/>
  <c r="J132" i="3"/>
  <c r="J129" i="3"/>
  <c r="I93" i="3"/>
  <c r="J198" i="3"/>
  <c r="I49" i="3"/>
  <c r="I167" i="3"/>
  <c r="J59" i="3"/>
  <c r="AO1" i="3" a="1"/>
  <c r="AO1" i="3" s="1"/>
  <c r="I13" i="3"/>
  <c r="I188" i="3"/>
  <c r="I199" i="3"/>
  <c r="J236" i="3"/>
  <c r="J64" i="3"/>
  <c r="J200" i="3"/>
  <c r="J31" i="3"/>
  <c r="J115" i="3"/>
  <c r="J128" i="3"/>
  <c r="I265" i="3"/>
  <c r="I100" i="3"/>
  <c r="J269" i="3"/>
  <c r="J195" i="3"/>
  <c r="I235" i="3"/>
  <c r="I150" i="3"/>
  <c r="J32" i="3"/>
  <c r="J66" i="3"/>
  <c r="J168" i="3"/>
  <c r="J270" i="3"/>
  <c r="I270" i="3"/>
  <c r="J166" i="3"/>
  <c r="J133" i="3"/>
  <c r="J234" i="3"/>
  <c r="I29" i="3"/>
  <c r="J199" i="3"/>
  <c r="J231" i="3"/>
  <c r="I127" i="3"/>
  <c r="J266" i="3"/>
  <c r="J63" i="3"/>
  <c r="J111" i="3"/>
  <c r="J50" i="3"/>
  <c r="J134" i="3"/>
  <c r="I162" i="3"/>
  <c r="I147" i="3"/>
  <c r="J164" i="3"/>
  <c r="J235" i="3"/>
  <c r="I246" i="3"/>
  <c r="I228" i="3"/>
  <c r="I129" i="3"/>
  <c r="J62" i="3"/>
  <c r="I132" i="3"/>
  <c r="J99" i="3"/>
  <c r="J130" i="3"/>
  <c r="I234" i="3"/>
  <c r="J201" i="3"/>
  <c r="I130" i="3"/>
  <c r="I201" i="3"/>
  <c r="I231" i="3"/>
  <c r="I98" i="3"/>
  <c r="I266" i="3"/>
  <c r="J98" i="3"/>
  <c r="I63" i="3"/>
  <c r="J187" i="3"/>
  <c r="I65" i="3"/>
  <c r="J41" i="3"/>
  <c r="J131" i="3"/>
  <c r="I134" i="3"/>
  <c r="I21" i="3"/>
  <c r="M73" i="3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J11" i="3"/>
  <c r="I158" i="3"/>
  <c r="J230" i="3"/>
  <c r="J93" i="3"/>
  <c r="J97" i="3"/>
  <c r="I99" i="3"/>
  <c r="I27" i="3"/>
  <c r="J28" i="3"/>
  <c r="I267" i="3"/>
  <c r="I166" i="3"/>
  <c r="J167" i="3"/>
  <c r="I202" i="3"/>
  <c r="J100" i="3"/>
  <c r="M141" i="3"/>
  <c r="J9" i="3"/>
  <c r="I28" i="3"/>
  <c r="R21" i="3"/>
  <c r="I26" i="3"/>
  <c r="J202" i="3"/>
  <c r="J65" i="3"/>
  <c r="J165" i="3"/>
  <c r="J267" i="3"/>
  <c r="P21" i="3"/>
  <c r="I22" i="3"/>
  <c r="I20" i="3"/>
  <c r="I59" i="3"/>
  <c r="J127" i="3"/>
  <c r="I90" i="3"/>
  <c r="I197" i="3"/>
  <c r="I89" i="3"/>
  <c r="J124" i="3"/>
  <c r="J262" i="3"/>
  <c r="J94" i="3"/>
  <c r="I8" i="3"/>
  <c r="I9" i="3"/>
  <c r="I94" i="3"/>
  <c r="I178" i="3"/>
  <c r="I80" i="3"/>
  <c r="I121" i="3"/>
  <c r="I156" i="3"/>
  <c r="I25" i="3"/>
  <c r="J23" i="3"/>
  <c r="J232" i="3"/>
  <c r="I232" i="3"/>
  <c r="I145" i="3"/>
  <c r="J26" i="3"/>
  <c r="J197" i="3"/>
  <c r="I51" i="3"/>
  <c r="I227" i="3"/>
  <c r="J19" i="3"/>
  <c r="J61" i="3"/>
  <c r="J45" i="3"/>
  <c r="I124" i="3"/>
  <c r="I230" i="3"/>
  <c r="AA9" i="3"/>
  <c r="J25" i="3"/>
  <c r="J27" i="3"/>
  <c r="M231" i="3"/>
  <c r="M232" i="3" s="1"/>
  <c r="M233" i="3" s="1"/>
  <c r="M234" i="3" s="1"/>
  <c r="M235" i="3" s="1"/>
  <c r="M236" i="3" s="1"/>
  <c r="M237" i="3" s="1"/>
  <c r="J196" i="3"/>
  <c r="J161" i="3"/>
  <c r="I161" i="3"/>
  <c r="J162" i="3"/>
  <c r="J52" i="3"/>
  <c r="J39" i="3"/>
  <c r="I58" i="3"/>
  <c r="I39" i="3"/>
  <c r="J89" i="3"/>
  <c r="I84" i="3"/>
  <c r="I88" i="3"/>
  <c r="I82" i="3"/>
  <c r="J85" i="3"/>
  <c r="I77" i="3"/>
  <c r="J125" i="3"/>
  <c r="J112" i="3"/>
  <c r="J121" i="3"/>
  <c r="I111" i="3"/>
  <c r="I112" i="3"/>
  <c r="M142" i="3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J153" i="3"/>
  <c r="J154" i="3"/>
  <c r="I160" i="3"/>
  <c r="J156" i="3"/>
  <c r="I151" i="3"/>
  <c r="J176" i="3"/>
  <c r="J188" i="3"/>
  <c r="J193" i="3"/>
  <c r="I52" i="3"/>
  <c r="I24" i="3"/>
  <c r="J259" i="3"/>
  <c r="I6" i="3"/>
  <c r="I119" i="3"/>
  <c r="J58" i="3"/>
  <c r="I116" i="3"/>
  <c r="J151" i="3"/>
  <c r="I257" i="3"/>
  <c r="I157" i="3"/>
  <c r="I123" i="3"/>
  <c r="J10" i="3"/>
  <c r="J92" i="3"/>
  <c r="J16" i="3"/>
  <c r="I125" i="3"/>
  <c r="J110" i="3"/>
  <c r="J146" i="3"/>
  <c r="J219" i="3"/>
  <c r="J224" i="3"/>
  <c r="I146" i="3"/>
  <c r="I86" i="3"/>
  <c r="I154" i="3"/>
  <c r="J88" i="3"/>
  <c r="I212" i="3"/>
  <c r="I42" i="3"/>
  <c r="I186" i="3"/>
  <c r="I108" i="3"/>
  <c r="J51" i="3"/>
  <c r="J158" i="3"/>
  <c r="I45" i="3"/>
  <c r="J15" i="3"/>
  <c r="I187" i="3"/>
  <c r="J56" i="3"/>
  <c r="J160" i="3"/>
  <c r="I250" i="3"/>
  <c r="J48" i="3"/>
  <c r="I15" i="3"/>
  <c r="I118" i="3"/>
  <c r="I122" i="3"/>
  <c r="J57" i="3"/>
  <c r="I209" i="3"/>
  <c r="I153" i="3"/>
  <c r="J123" i="3"/>
  <c r="J22" i="3"/>
  <c r="I193" i="3"/>
  <c r="J228" i="3"/>
  <c r="J49" i="3"/>
  <c r="I41" i="3"/>
  <c r="J17" i="3"/>
  <c r="I260" i="3"/>
  <c r="I48" i="3"/>
  <c r="I53" i="3"/>
  <c r="J157" i="3"/>
  <c r="I189" i="3"/>
  <c r="J184" i="3"/>
  <c r="I194" i="3"/>
  <c r="I179" i="3"/>
  <c r="I190" i="3"/>
  <c r="J178" i="3"/>
  <c r="M175" i="3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J220" i="3"/>
  <c r="I220" i="3"/>
  <c r="I213" i="3"/>
  <c r="I218" i="3"/>
  <c r="J77" i="3"/>
  <c r="I182" i="3"/>
  <c r="I219" i="3"/>
  <c r="J191" i="3"/>
  <c r="J152" i="3"/>
  <c r="I143" i="3"/>
  <c r="I144" i="3"/>
  <c r="J181" i="3"/>
  <c r="I184" i="3"/>
  <c r="J83" i="3"/>
  <c r="J117" i="3"/>
  <c r="J80" i="3"/>
  <c r="I17" i="3"/>
  <c r="J120" i="3"/>
  <c r="J122" i="3"/>
  <c r="J21" i="3"/>
  <c r="J246" i="3"/>
  <c r="J113" i="3"/>
  <c r="I120" i="3"/>
  <c r="J75" i="3"/>
  <c r="I78" i="3"/>
  <c r="J118" i="3"/>
  <c r="J84" i="3"/>
  <c r="J86" i="3"/>
  <c r="M107" i="3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I114" i="3"/>
  <c r="J78" i="3"/>
  <c r="I222" i="3"/>
  <c r="I54" i="3"/>
  <c r="I259" i="3"/>
  <c r="I263" i="3"/>
  <c r="I252" i="3"/>
  <c r="J185" i="3"/>
  <c r="J190" i="3"/>
  <c r="I224" i="3"/>
  <c r="J55" i="3"/>
  <c r="J24" i="3"/>
  <c r="I14" i="3"/>
  <c r="I91" i="3"/>
  <c r="J141" i="3"/>
  <c r="I191" i="3"/>
  <c r="J192" i="3"/>
  <c r="J144" i="3"/>
  <c r="I83" i="3"/>
  <c r="I117" i="3"/>
  <c r="I19" i="3"/>
  <c r="I159" i="3"/>
  <c r="I126" i="3"/>
  <c r="J186" i="3"/>
  <c r="J54" i="3"/>
  <c r="I177" i="3"/>
  <c r="J81" i="3"/>
  <c r="I185" i="3"/>
  <c r="J254" i="3"/>
  <c r="J119" i="3"/>
  <c r="I18" i="3"/>
  <c r="I261" i="3"/>
  <c r="J194" i="3"/>
  <c r="J149" i="3"/>
  <c r="I142" i="3"/>
  <c r="J91" i="3"/>
  <c r="I210" i="3"/>
  <c r="J150" i="3"/>
  <c r="I152" i="3"/>
  <c r="I23" i="3"/>
  <c r="I192" i="3"/>
  <c r="I141" i="3"/>
  <c r="I92" i="3"/>
  <c r="M5" i="3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I221" i="3"/>
  <c r="I155" i="3"/>
  <c r="J226" i="3"/>
  <c r="I107" i="3"/>
  <c r="I44" i="3"/>
  <c r="I244" i="3"/>
  <c r="J76" i="3"/>
  <c r="I254" i="3"/>
  <c r="I256" i="3"/>
  <c r="I55" i="3"/>
  <c r="I56" i="3"/>
  <c r="I215" i="3"/>
  <c r="I217" i="3"/>
  <c r="I226" i="3"/>
  <c r="M209" i="3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J215" i="3"/>
  <c r="J217" i="3"/>
  <c r="I211" i="3"/>
  <c r="J214" i="3"/>
  <c r="J225" i="3"/>
  <c r="J227" i="3"/>
  <c r="J223" i="3"/>
  <c r="J212" i="3"/>
  <c r="I223" i="3"/>
  <c r="J211" i="3"/>
  <c r="I216" i="3"/>
  <c r="I214" i="3"/>
  <c r="J221" i="3"/>
  <c r="I253" i="3"/>
  <c r="I262" i="3"/>
  <c r="J256" i="3"/>
  <c r="J218" i="3"/>
  <c r="I255" i="3"/>
  <c r="J258" i="3"/>
  <c r="I249" i="3"/>
  <c r="J222" i="3"/>
  <c r="I243" i="3"/>
  <c r="I245" i="3"/>
  <c r="J264" i="3"/>
  <c r="J255" i="3"/>
  <c r="I247" i="3"/>
  <c r="J253" i="3"/>
  <c r="J260" i="3"/>
  <c r="I264" i="3"/>
  <c r="J263" i="3"/>
  <c r="J126" i="3"/>
  <c r="J159" i="3"/>
  <c r="J261" i="3"/>
  <c r="J90" i="3"/>
  <c r="J155" i="3"/>
  <c r="J53" i="3"/>
  <c r="J189" i="3"/>
  <c r="J257" i="3"/>
  <c r="J18" i="3"/>
  <c r="J14" i="3"/>
  <c r="J82" i="3"/>
  <c r="J116" i="3"/>
  <c r="J252" i="3"/>
  <c r="I183" i="3"/>
  <c r="M39" i="3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I251" i="3"/>
  <c r="I5" i="3"/>
  <c r="J142" i="3"/>
  <c r="I76" i="3"/>
  <c r="I180" i="3"/>
  <c r="I242" i="3"/>
  <c r="I11" i="3"/>
  <c r="I40" i="3"/>
  <c r="J79" i="3"/>
  <c r="AA4" i="3"/>
  <c r="J183" i="3"/>
  <c r="J251" i="3"/>
  <c r="J46" i="3"/>
  <c r="I46" i="3"/>
  <c r="J8" i="3"/>
  <c r="J209" i="3"/>
  <c r="J177" i="3"/>
  <c r="I73" i="3"/>
  <c r="J244" i="3"/>
  <c r="I74" i="3"/>
  <c r="I110" i="3"/>
  <c r="J145" i="3"/>
  <c r="I113" i="3"/>
  <c r="J114" i="3"/>
  <c r="I109" i="3"/>
  <c r="I12" i="3"/>
  <c r="I175" i="3"/>
  <c r="J180" i="3"/>
  <c r="J13" i="3"/>
  <c r="I181" i="3"/>
  <c r="I148" i="3"/>
  <c r="I47" i="3"/>
  <c r="I7" i="3"/>
  <c r="J43" i="3"/>
  <c r="J216" i="3"/>
  <c r="I43" i="3"/>
  <c r="J213" i="3"/>
  <c r="J12" i="3"/>
  <c r="J148" i="3"/>
  <c r="I248" i="3"/>
  <c r="J42" i="3"/>
  <c r="J247" i="3"/>
  <c r="J147" i="3"/>
  <c r="J182" i="3"/>
  <c r="J109" i="3"/>
  <c r="J40" i="3"/>
  <c r="I79" i="3"/>
  <c r="I10" i="3"/>
  <c r="J248" i="3"/>
  <c r="J107" i="3"/>
  <c r="J6" i="3"/>
  <c r="J108" i="3"/>
  <c r="J250" i="3"/>
  <c r="I81" i="3"/>
  <c r="J47" i="3"/>
  <c r="J249" i="3"/>
  <c r="J179" i="3"/>
  <c r="J7" i="3"/>
  <c r="J143" i="3"/>
  <c r="J245" i="3"/>
  <c r="J74" i="3"/>
  <c r="J210" i="3"/>
  <c r="J243" i="3"/>
  <c r="J175" i="3"/>
  <c r="J73" i="3"/>
  <c r="I208" i="3"/>
  <c r="J174" i="3"/>
  <c r="J72" i="3"/>
  <c r="J4" i="3"/>
  <c r="K241" i="3" a="1"/>
  <c r="K241" i="3" s="1"/>
  <c r="AB3" i="3" s="1"/>
  <c r="AC3" i="3" s="1"/>
  <c r="K3" i="3" a="1"/>
  <c r="K3" i="3" s="1"/>
  <c r="AB4" i="3" s="1"/>
  <c r="I140" i="3"/>
  <c r="L139" i="3"/>
  <c r="L207" i="3"/>
  <c r="K139" i="3" a="1"/>
  <c r="K139" i="3" s="1"/>
  <c r="AB8" i="3" s="1"/>
  <c r="AC8" i="3" s="1"/>
  <c r="K105" i="3" a="1"/>
  <c r="K105" i="3" s="1"/>
  <c r="AB7" i="3" s="1"/>
  <c r="J38" i="3"/>
  <c r="I38" i="3"/>
  <c r="L105" i="3"/>
  <c r="M242" i="3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J242" i="3"/>
  <c r="K71" i="3" a="1"/>
  <c r="K71" i="3" s="1"/>
  <c r="AB6" i="3" s="1"/>
  <c r="AC6" i="3" s="1"/>
  <c r="L3" i="3"/>
  <c r="L37" i="3"/>
  <c r="AA3" i="3"/>
  <c r="J106" i="3"/>
  <c r="I106" i="3"/>
  <c r="AA5" i="3"/>
  <c r="L71" i="3"/>
  <c r="K207" i="3" a="1"/>
  <c r="K207" i="3" s="1"/>
  <c r="AB10" i="3" s="1"/>
  <c r="AC10" i="3" s="1"/>
  <c r="J208" i="3"/>
  <c r="J140" i="3"/>
  <c r="I174" i="3"/>
  <c r="I72" i="3"/>
  <c r="AA6" i="3"/>
  <c r="AA8" i="3"/>
  <c r="L173" i="3"/>
  <c r="I4" i="3"/>
  <c r="AA10" i="3"/>
  <c r="K37" i="3" a="1"/>
  <c r="K37" i="3" s="1"/>
  <c r="AB5" i="3" s="1"/>
  <c r="AC5" i="3" s="1"/>
  <c r="K173" i="3" a="1"/>
  <c r="K173" i="3" s="1"/>
  <c r="AB9" i="3" s="1"/>
  <c r="AC9" i="3" s="1"/>
  <c r="J17" i="2"/>
  <c r="J135" i="2"/>
  <c r="K123" i="2" a="1"/>
  <c r="K123" i="2" s="1"/>
  <c r="J39" i="2"/>
  <c r="I180" i="2"/>
  <c r="M157" i="2"/>
  <c r="K147" i="2" a="1"/>
  <c r="K147" i="2" s="1"/>
  <c r="AB10" i="2" s="1"/>
  <c r="I37" i="2"/>
  <c r="J14" i="2"/>
  <c r="M156" i="2"/>
  <c r="J13" i="2"/>
  <c r="M177" i="2"/>
  <c r="I83" i="2"/>
  <c r="K75" i="2" a="1"/>
  <c r="K75" i="2" s="1"/>
  <c r="AB7" i="2" s="1"/>
  <c r="M154" i="2"/>
  <c r="P21" i="2"/>
  <c r="I10" i="2"/>
  <c r="K171" i="2" a="1"/>
  <c r="K171" i="2" s="1"/>
  <c r="AB3" i="2" s="1"/>
  <c r="AD3" i="2" s="1"/>
  <c r="J176" i="2"/>
  <c r="K6" i="2"/>
  <c r="K3" i="2" a="1"/>
  <c r="K3" i="2" s="1"/>
  <c r="AB4" i="2" s="1"/>
  <c r="J10" i="2"/>
  <c r="K51" i="2" a="1"/>
  <c r="K51" i="2" s="1"/>
  <c r="AB6" i="2" s="1"/>
  <c r="M56" i="2"/>
  <c r="I104" i="2"/>
  <c r="J104" i="2"/>
  <c r="K27" i="2" a="1"/>
  <c r="K27" i="2" s="1"/>
  <c r="AB5" i="2" s="1"/>
  <c r="J31" i="2"/>
  <c r="J78" i="2"/>
  <c r="J54" i="2"/>
  <c r="J172" i="2"/>
  <c r="K171" i="1"/>
  <c r="Y3" i="2" s="1"/>
  <c r="AA3" i="2" s="1"/>
  <c r="J125" i="2"/>
  <c r="AB9" i="2"/>
  <c r="M5" i="2"/>
  <c r="I100" i="2"/>
  <c r="L123" i="2"/>
  <c r="J124" i="2"/>
  <c r="L99" i="2"/>
  <c r="J117" i="1"/>
  <c r="M69" i="1"/>
  <c r="K54" i="1" s="1"/>
  <c r="M93" i="1"/>
  <c r="L147" i="1"/>
  <c r="L27" i="1"/>
  <c r="K147" i="1"/>
  <c r="L51" i="1"/>
  <c r="L75" i="2"/>
  <c r="J76" i="2"/>
  <c r="J52" i="2"/>
  <c r="J28" i="2"/>
  <c r="I148" i="2"/>
  <c r="L51" i="2"/>
  <c r="J100" i="2"/>
  <c r="M100" i="2"/>
  <c r="L147" i="2"/>
  <c r="I124" i="2"/>
  <c r="L27" i="2"/>
  <c r="I52" i="2"/>
  <c r="J148" i="2"/>
  <c r="K78" i="2"/>
  <c r="I28" i="2"/>
  <c r="AB8" i="2"/>
  <c r="K126" i="2"/>
  <c r="K30" i="2"/>
  <c r="L3" i="2"/>
  <c r="I76" i="2"/>
  <c r="K102" i="1"/>
  <c r="K126" i="1"/>
  <c r="K78" i="1"/>
  <c r="K75" i="1"/>
  <c r="I84" i="1"/>
  <c r="I57" i="1"/>
  <c r="I54" i="1"/>
  <c r="K27" i="1"/>
  <c r="J60" i="1"/>
  <c r="K30" i="1"/>
  <c r="L126" i="1"/>
  <c r="L78" i="1"/>
  <c r="I138" i="1"/>
  <c r="I128" i="1"/>
  <c r="I111" i="1"/>
  <c r="J84" i="1"/>
  <c r="J54" i="1"/>
  <c r="I131" i="1"/>
  <c r="J161" i="1"/>
  <c r="J90" i="1"/>
  <c r="J80" i="1"/>
  <c r="J77" i="1"/>
  <c r="J43" i="1"/>
  <c r="J125" i="1"/>
  <c r="L54" i="1"/>
  <c r="K51" i="1"/>
  <c r="J155" i="1"/>
  <c r="I125" i="1"/>
  <c r="I64" i="1"/>
  <c r="I155" i="1"/>
  <c r="J131" i="1"/>
  <c r="J148" i="1"/>
  <c r="I104" i="1"/>
  <c r="I101" i="1"/>
  <c r="I67" i="1"/>
  <c r="L30" i="1"/>
  <c r="J137" i="1"/>
  <c r="J127" i="1"/>
  <c r="J124" i="1"/>
  <c r="J110" i="1"/>
  <c r="I77" i="1"/>
  <c r="J63" i="1"/>
  <c r="L99" i="1"/>
  <c r="J37" i="1"/>
  <c r="J114" i="1"/>
  <c r="J101" i="1"/>
  <c r="J67" i="1"/>
  <c r="J151" i="1"/>
  <c r="J154" i="1"/>
  <c r="I127" i="1"/>
  <c r="I124" i="1"/>
  <c r="I110" i="1"/>
  <c r="J83" i="1"/>
  <c r="I63" i="1"/>
  <c r="J36" i="1"/>
  <c r="L123" i="1"/>
  <c r="L102" i="1"/>
  <c r="K99" i="1"/>
  <c r="J138" i="1"/>
  <c r="J104" i="1"/>
  <c r="J57" i="1"/>
  <c r="I37" i="1"/>
  <c r="I114" i="1"/>
  <c r="P21" i="1"/>
  <c r="L6" i="1"/>
  <c r="J17" i="1"/>
  <c r="I10" i="1"/>
  <c r="J14" i="1"/>
  <c r="I14" i="1"/>
  <c r="J6" i="1"/>
  <c r="J5" i="1"/>
  <c r="I6" i="1"/>
  <c r="J10" i="1"/>
  <c r="J4" i="1"/>
  <c r="J11" i="1"/>
  <c r="J7" i="1"/>
  <c r="J12" i="1"/>
  <c r="I16" i="1"/>
  <c r="I13" i="1"/>
  <c r="I15" i="1"/>
  <c r="I4" i="1"/>
  <c r="I12" i="1"/>
  <c r="I11" i="1"/>
  <c r="I7" i="1"/>
  <c r="I8" i="1"/>
  <c r="J8" i="1"/>
  <c r="I9" i="1"/>
  <c r="J15" i="1"/>
  <c r="J13" i="1"/>
  <c r="L3" i="1"/>
  <c r="M13" i="1"/>
  <c r="M14" i="1" s="1"/>
  <c r="M15" i="1" s="1"/>
  <c r="M16" i="1" s="1"/>
  <c r="M17" i="1" s="1"/>
  <c r="K3" i="1"/>
  <c r="K142" i="3" l="1"/>
  <c r="K43" i="3"/>
  <c r="K40" i="3"/>
  <c r="M91" i="3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K74" i="3"/>
  <c r="M125" i="3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K108" i="3"/>
  <c r="K247" i="3"/>
  <c r="K176" i="3"/>
  <c r="K213" i="3"/>
  <c r="K9" i="3"/>
  <c r="K77" i="3"/>
  <c r="K179" i="3"/>
  <c r="K145" i="3"/>
  <c r="K111" i="3"/>
  <c r="AD10" i="3"/>
  <c r="AD3" i="3"/>
  <c r="AD9" i="3"/>
  <c r="AD8" i="3"/>
  <c r="AD5" i="3"/>
  <c r="AD6" i="3"/>
  <c r="AD7" i="3"/>
  <c r="AC7" i="3"/>
  <c r="K6" i="3"/>
  <c r="AD4" i="3"/>
  <c r="AC4" i="3"/>
  <c r="A21" i="3"/>
  <c r="A24" i="3" s="1"/>
  <c r="AC3" i="2"/>
  <c r="AD7" i="2"/>
  <c r="AC7" i="2"/>
  <c r="AD9" i="2"/>
  <c r="AC9" i="2"/>
  <c r="AD6" i="2"/>
  <c r="AC6" i="2"/>
  <c r="AC8" i="2"/>
  <c r="AD8" i="2"/>
  <c r="AD10" i="2"/>
  <c r="AC10" i="2"/>
  <c r="AD4" i="2"/>
  <c r="AC4" i="2"/>
  <c r="AD5" i="2"/>
  <c r="AC5" i="2"/>
  <c r="K54" i="2"/>
  <c r="K102" i="2"/>
  <c r="A21" i="2"/>
  <c r="A24" i="2" s="1"/>
  <c r="A21" i="1"/>
  <c r="A24" i="1" s="1"/>
  <c r="AE3" i="3" l="1"/>
  <c r="AE6" i="3" s="1"/>
  <c r="B27" i="3"/>
  <c r="A27" i="3"/>
  <c r="AE3" i="2"/>
  <c r="AE6" i="2" s="1"/>
  <c r="B27" i="2"/>
  <c r="A27" i="2"/>
  <c r="A27" i="1"/>
  <c r="B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<sst xmlns="http://schemas.openxmlformats.org/spreadsheetml/2006/main" count="1926" uniqueCount="1573">
  <si>
    <t>Device Label</t>
  </si>
  <si>
    <t>Device №</t>
  </si>
  <si>
    <t>ACCZERO PBRC</t>
  </si>
  <si>
    <t>IMGCOF</t>
  </si>
  <si>
    <t>ERR15</t>
  </si>
  <si>
    <t>IMG COR LSU</t>
  </si>
  <si>
    <t>IVAN ERR15</t>
  </si>
  <si>
    <t>AIM TRAINING DEVICE</t>
  </si>
  <si>
    <t>Actual time</t>
  </si>
  <si>
    <t>Device time</t>
  </si>
  <si>
    <t>Interval</t>
  </si>
  <si>
    <t>2024-09-12 15:33:39.219130</t>
  </si>
  <si>
    <t>2024-09-12 15:48:02.991899</t>
  </si>
  <si>
    <t>Nothing</t>
  </si>
  <si>
    <t>Blue tape</t>
  </si>
  <si>
    <t>2024-09-12 15:47:55.187939</t>
  </si>
  <si>
    <t>2024-09-12 14:53:25.992224</t>
  </si>
  <si>
    <t>[0.207018, 0.219477]</t>
  </si>
  <si>
    <t>2024-09-12 16:12:48.992060</t>
  </si>
  <si>
    <t>2024-09-12 15:52:10.094546</t>
  </si>
  <si>
    <t>2024-09-12 15:54:13.094031</t>
  </si>
  <si>
    <t>2024-09-12 16:58:49.992060</t>
  </si>
  <si>
    <t>[0.110111, 0.125185]</t>
  </si>
  <si>
    <t>2024-09-12 15:57:00.875857</t>
  </si>
  <si>
    <t>2024-09-12 16:59:12.992384</t>
  </si>
  <si>
    <t>[0.875857, 0.891089]</t>
  </si>
  <si>
    <t>2024-09-12 15:59:47.844268</t>
  </si>
  <si>
    <t>2024-09-12 16:49:37.991776</t>
  </si>
  <si>
    <t>[0.844268, 0.860717]</t>
  </si>
  <si>
    <t>2024-09-12 16:02:30.844595</t>
  </si>
  <si>
    <t>2024-09-12 16:36:38.991602</t>
  </si>
  <si>
    <t>[0.844595, 0.861392]</t>
  </si>
  <si>
    <t>2024-09-12 17:18:16.688028</t>
  </si>
  <si>
    <t>2024-09-12 17:32:41.992176</t>
  </si>
  <si>
    <t>[0.688028, 0.703675]</t>
  </si>
  <si>
    <t>2024-09-12 17:20:30.688491</t>
  </si>
  <si>
    <t>2024-09-12 17:54:39.992448</t>
  </si>
  <si>
    <t>[0.688491, 0.703596]</t>
  </si>
  <si>
    <t>2024-09-12 17:23:06.656844</t>
  </si>
  <si>
    <t>2024-09-12 18:12:58.992390</t>
  </si>
  <si>
    <t>[0.656844, 0.672063]</t>
  </si>
  <si>
    <t>2024-09-12 17:33:21.406650</t>
  </si>
  <si>
    <t>2024-09-12 18:35:34.992132</t>
  </si>
  <si>
    <t>2024-09-12 17:35:12.407390</t>
  </si>
  <si>
    <t>2024-09-12 18:39:50.992494</t>
  </si>
  <si>
    <t>2024-09-12 17:36:54.250823</t>
  </si>
  <si>
    <t>2024-09-12 17:57:34.992534</t>
  </si>
  <si>
    <t>[0.250823, 0.265755]</t>
  </si>
  <si>
    <t>2024-09-12 17:39:07.437866</t>
  </si>
  <si>
    <t>2024-09-12 16:44:39.984042</t>
  </si>
  <si>
    <t>[0.437866, 0.469782]</t>
  </si>
  <si>
    <t>2024-09-12 18:35:08.594893</t>
  </si>
  <si>
    <t>2024-09-12 18:49:34.992356</t>
  </si>
  <si>
    <t>[0.594893, 0.610182]</t>
  </si>
  <si>
    <t>2024-09-12 18:37:28.563499</t>
  </si>
  <si>
    <t>2024-09-12 19:11:38.992364</t>
  </si>
  <si>
    <t>[0.563499, 0.578772]</t>
  </si>
  <si>
    <t>2024-09-12 18:39:22.470122</t>
  </si>
  <si>
    <t>2024-09-12 19:29:14.992598</t>
  </si>
  <si>
    <t>[0.470122, 0.484925]</t>
  </si>
  <si>
    <t>2024-09-12 18:41:46.345277</t>
  </si>
  <si>
    <t>2024-09-12 19:44:00.992133</t>
  </si>
  <si>
    <t>[0.345277, 0.361011]</t>
  </si>
  <si>
    <t>2024-09-12 18:44:47.251315</t>
  </si>
  <si>
    <t>2024-09-12 19:49:26.992464</t>
  </si>
  <si>
    <t>[0.251315, 0.266387]</t>
  </si>
  <si>
    <t>2024-09-12 18:47:47.031791</t>
  </si>
  <si>
    <t>2024-09-12 19:08:28.992269</t>
  </si>
  <si>
    <t>[0.031791, 0.047253]</t>
  </si>
  <si>
    <t>2024-09-12 18:52:28.281547</t>
  </si>
  <si>
    <t>2024-09-12 17:58:01.991774</t>
  </si>
  <si>
    <t>2024-09-12 19:36:32.691076</t>
  </si>
  <si>
    <t>2024-09-12 19:50:59.993425</t>
  </si>
  <si>
    <t>[0.704355, 0.719084]</t>
  </si>
  <si>
    <t>2024-09-12 19:38:46.657944</t>
  </si>
  <si>
    <t>2024-09-12 20:12:57.992703</t>
  </si>
  <si>
    <t>[0.657944, 0.672538]</t>
  </si>
  <si>
    <t>2024-09-12 19:40:45.563728</t>
  </si>
  <si>
    <t>2024-09-12 20:30:38.992590</t>
  </si>
  <si>
    <t>[0.563728, 0.578548]</t>
  </si>
  <si>
    <t>2024-09-12 19:42:46.406794</t>
  </si>
  <si>
    <t>2024-09-12 20:45:01.992186</t>
  </si>
  <si>
    <t>[0.406794, 0.422422]</t>
  </si>
  <si>
    <t>2024-09-12 19:48:31.188142</t>
  </si>
  <si>
    <t>2024-09-12 20:53:11.992126</t>
  </si>
  <si>
    <t>[0.188142, 0.203891]</t>
  </si>
  <si>
    <t>2024-09-12 19:51:10.907041</t>
  </si>
  <si>
    <t>2024-09-12 20:11:53.992453</t>
  </si>
  <si>
    <t>[0.907041, 0.922135]</t>
  </si>
  <si>
    <t>2024-09-12 19:53:45.313659</t>
  </si>
  <si>
    <t>2024-09-12 18:59:19.992516</t>
  </si>
  <si>
    <t>[0.313659, 0.328627]</t>
  </si>
  <si>
    <t>[0.688373, 0.703389]</t>
  </si>
  <si>
    <t>2024-09-13 00:18:12.688373</t>
  </si>
  <si>
    <t>2024-09-13 00:32:43.992492</t>
  </si>
  <si>
    <t>[0.532209, 0.547879]</t>
  </si>
  <si>
    <t>2024-09-13 00:55:32.992165</t>
  </si>
  <si>
    <t>2024-09-13 00:21:17.532209</t>
  </si>
  <si>
    <t>2024-09-13 00:23:45.438133</t>
  </si>
  <si>
    <t>2024-09-13 01:13:42.984136</t>
  </si>
  <si>
    <t>[0.438133, 0.469862]</t>
  </si>
  <si>
    <t>2024-09-13 00:25:46.094370</t>
  </si>
  <si>
    <t>2024-09-13 01:28:05.991954</t>
  </si>
  <si>
    <t>2024-09-13 00:30:10.500985</t>
  </si>
  <si>
    <t>2024-09-13 01:34:55.992398</t>
  </si>
  <si>
    <t>[0.516563, 0.533149]</t>
  </si>
  <si>
    <t>2024-09-13 00:34:29.001446</t>
  </si>
  <si>
    <t>2024-09-13 00:55:16.992546</t>
  </si>
  <si>
    <t>[0.016164, 0.031956]</t>
  </si>
  <si>
    <t>2024-09-13 00:37:30.844956</t>
  </si>
  <si>
    <t>2024-09-12 23:43:09.992350</t>
  </si>
  <si>
    <t>[0.844956, 0.860257]</t>
  </si>
  <si>
    <t>2024-09-13 10:36:14.094765</t>
  </si>
  <si>
    <t>2024-09-13 10:50:51.992498</t>
  </si>
  <si>
    <t>[0.094765, 0.109769]</t>
  </si>
  <si>
    <t>2024-09-13 10:38:52.750590</t>
  </si>
  <si>
    <t>2024-09-13 11:13:14.992419</t>
  </si>
  <si>
    <t>2024-09-13 10:42:07.658626</t>
  </si>
  <si>
    <t>2024-09-13 11:32:11.993066</t>
  </si>
  <si>
    <t>[0.658626, 0.672495]</t>
  </si>
  <si>
    <t>2024-09-13 10:44:20.876516</t>
  </si>
  <si>
    <t>2024-09-13 11:46:47.992585</t>
  </si>
  <si>
    <t>[0.876516, 0.891346]</t>
  </si>
  <si>
    <t>2024-09-13 10:46:10.501307</t>
  </si>
  <si>
    <t>2024-09-13 11:51:03.992780</t>
  </si>
  <si>
    <t>[0.516626, 0.531555]</t>
  </si>
  <si>
    <t>2024-09-13 10:48:34.656881</t>
  </si>
  <si>
    <t>2024-09-13 11:09:30.992060</t>
  </si>
  <si>
    <t>[0.656881, 0.672762]</t>
  </si>
  <si>
    <t>2024-09-13 10:51:17.406665</t>
  </si>
  <si>
    <t>2024-09-13 09:57:03.992067</t>
  </si>
  <si>
    <t>[0.406665, 0.422531]</t>
  </si>
  <si>
    <t>2024-09-13 12:03:39.281637</t>
  </si>
  <si>
    <t>2024-09-13 11:09:26.992317</t>
  </si>
  <si>
    <t>[0.281637, 0.297003]</t>
  </si>
  <si>
    <t>[0.281547, 0.298000]</t>
  </si>
  <si>
    <t>2024-09-13 12:09:59.250146</t>
  </si>
  <si>
    <t>2024-09-13 12:30:56.992013</t>
  </si>
  <si>
    <t>2024-09-13 12:14:21.032870</t>
  </si>
  <si>
    <t>2024-09-13 13:19:15.992803</t>
  </si>
  <si>
    <t>2024-09-13 12:17:54.470909</t>
  </si>
  <si>
    <t>2024-09-13 13:20:22.993037</t>
  </si>
  <si>
    <t>[0.470909, 0.484835]</t>
  </si>
  <si>
    <t>2024-09-13 12:20:03.219072</t>
  </si>
  <si>
    <t>2024-09-13 13:10:08.992162</t>
  </si>
  <si>
    <t>[0.219072, 0.234747]</t>
  </si>
  <si>
    <t>2024-09-13 12:22:57.219903</t>
  </si>
  <si>
    <t>2024-09-13 12:57:20.992420</t>
  </si>
  <si>
    <t>[0.219903, 0.235062]</t>
  </si>
  <si>
    <t>2024-09-13 12:24:50.532423</t>
  </si>
  <si>
    <t>2024-09-13 12:39:29.992224</t>
  </si>
  <si>
    <t>[0.532423, 0.547974]</t>
  </si>
  <si>
    <t>2024-09-13 13:02:20.376658</t>
  </si>
  <si>
    <t>2024-09-13 12:08:08.992633</t>
  </si>
  <si>
    <t>[0.376658, 0.391392]</t>
  </si>
  <si>
    <t>[0.250146, 0.266120]</t>
  </si>
  <si>
    <t>2024-09-13 13:05:22.284312</t>
  </si>
  <si>
    <t>2024-09-13 13:26:20.993510</t>
  </si>
  <si>
    <t>[0.284312, 0.297293]</t>
  </si>
  <si>
    <t>2024-09-13 13:07:46.157649</t>
  </si>
  <si>
    <t>2024-09-13 14:12:41.992597</t>
  </si>
  <si>
    <t>[0.157649, 0.172455]</t>
  </si>
  <si>
    <t>[0.047999, 0.062735]</t>
  </si>
  <si>
    <t>2024-09-13 13:19:36.532251</t>
  </si>
  <si>
    <t>2024-09-13 14:22:05.992425</t>
  </si>
  <si>
    <t>[0.532251, 0.547401]</t>
  </si>
  <si>
    <t>2024-09-13 13:23:13.282869</t>
  </si>
  <si>
    <t>2024-09-13 14:13:19.992800</t>
  </si>
  <si>
    <t>[0.282869, 0.297269]</t>
  </si>
  <si>
    <t>2024-09-13 13:24:52.313229</t>
  </si>
  <si>
    <t>2024-09-13 13:59:16.992248</t>
  </si>
  <si>
    <t>[0.313229, 0.328733]</t>
  </si>
  <si>
    <t>2024-09-13 13:26:55.657122</t>
  </si>
  <si>
    <t>2024-09-13 13:41:35.992033</t>
  </si>
  <si>
    <t>[0.657122, 0.673056]</t>
  </si>
  <si>
    <t>2024-09-13 16:51:09.781437</t>
  </si>
  <si>
    <t>2024-09-13 15:57:01.992068</t>
  </si>
  <si>
    <t>[0.781437, 0.797301]</t>
  </si>
  <si>
    <t>2024-09-13 16:53:26.344594</t>
  </si>
  <si>
    <t>2024-09-13 17:14:28.991952</t>
  </si>
  <si>
    <t>[0.344594, 0.360689]</t>
  </si>
  <si>
    <t>2024-09-13 16:54:59.407282</t>
  </si>
  <si>
    <t>2024-09-13 17:59:58.991662</t>
  </si>
  <si>
    <t>[0.407282, 0.423959]</t>
  </si>
  <si>
    <t>2024-09-13 16:57:00.219887</t>
  </si>
  <si>
    <t>2024-09-13 17:59:32.992556</t>
  </si>
  <si>
    <t>[0.219887, 0.234776]</t>
  </si>
  <si>
    <t>2024-09-13 16:58:43.125708</t>
  </si>
  <si>
    <t>2024-09-13 17:48:52.992222</t>
  </si>
  <si>
    <t>[0.125708, 0.141265]</t>
  </si>
  <si>
    <t>2024-09-13 17:00:16.157644</t>
  </si>
  <si>
    <t>2024-09-13 17:34:43.992635</t>
  </si>
  <si>
    <t>[0.157644, 0.172374]</t>
  </si>
  <si>
    <t>2024-09-13 17:01:54.594733</t>
  </si>
  <si>
    <t>2024-09-13 17:16:37.992534</t>
  </si>
  <si>
    <t>[0.594733, 0.609666]</t>
  </si>
  <si>
    <t>2024-09-14 12:52:04.813493</t>
  </si>
  <si>
    <t>2024-09-14 11:58:15.992472</t>
  </si>
  <si>
    <t>[0.813493, 0.828549]</t>
  </si>
  <si>
    <t>2024-09-14 12:54:40.594967</t>
  </si>
  <si>
    <t>2024-09-14 13:16:03.992507</t>
  </si>
  <si>
    <t>[0.594967, 0.609953]</t>
  </si>
  <si>
    <t>2024-09-14 12:57:05.375633</t>
  </si>
  <si>
    <t>2024-09-14 14:02:24.992230</t>
  </si>
  <si>
    <t>[0.375633, 0.391173]</t>
  </si>
  <si>
    <t>2024-09-14 13:00:06.844475</t>
  </si>
  <si>
    <t>2024-09-14 14:02:57.992298</t>
  </si>
  <si>
    <t>[0.844475, 0.859878]</t>
  </si>
  <si>
    <t>2024-09-14 13:02:24.531892</t>
  </si>
  <si>
    <t>2024-09-14 13:52:51.992324</t>
  </si>
  <si>
    <t>[0.531892, 0.547244]</t>
  </si>
  <si>
    <t>2024-09-14 13:04:31.532492</t>
  </si>
  <si>
    <t>2024-09-14 13:39:16.992400</t>
  </si>
  <si>
    <t>[0.532492, 0.547691]</t>
  </si>
  <si>
    <t>2024-09-14 13:06:56.313628</t>
  </si>
  <si>
    <t>2024-09-14 13:21:56.992430</t>
  </si>
  <si>
    <t>[0.313628, 0.328769]</t>
  </si>
  <si>
    <t>[0.219130, 0.235332]</t>
  </si>
  <si>
    <t>[0.750590, 0.765752]</t>
  </si>
  <si>
    <t>[0.406650, 0.422385]</t>
  </si>
  <si>
    <t>[0.094370, 0.110461]</t>
  </si>
  <si>
    <t>[0.407390, 0.422401]</t>
  </si>
  <si>
    <t>Time elapsed minutes</t>
  </si>
  <si>
    <t>Time drift per hour (with ms)</t>
  </si>
  <si>
    <t>Time drift per hour</t>
  </si>
  <si>
    <t>Average error (with ms)</t>
  </si>
  <si>
    <t>2024-09-14 13:54:56.992301</t>
  </si>
  <si>
    <t>2024-09-14 14:48:43.938118</t>
  </si>
  <si>
    <t>[0.938118, 0.953516]</t>
  </si>
  <si>
    <t>2024-09-14 15:15:12.992357</t>
  </si>
  <si>
    <t>2024-09-14 14:53:47.500874</t>
  </si>
  <si>
    <t>[0.500874, 0.516160]</t>
  </si>
  <si>
    <t>2024-09-14 16:03:06.992032</t>
  </si>
  <si>
    <t>2024-09-14 14:57:45.343950</t>
  </si>
  <si>
    <t>[0.343950, 0.359885]</t>
  </si>
  <si>
    <t>2024-09-14 15:01:19.969206</t>
  </si>
  <si>
    <t>2024-09-14 16:04:12.992085</t>
  </si>
  <si>
    <t>[0.969206, 0.985035]</t>
  </si>
  <si>
    <t>2024-09-14 15:05:35.687912</t>
  </si>
  <si>
    <t>2024-09-14 15:56:04.992265</t>
  </si>
  <si>
    <t>[0.703334, 0.719059]</t>
  </si>
  <si>
    <t>2024-09-14 15:08:32.688717</t>
  </si>
  <si>
    <t>2024-09-14 15:43:19.992576</t>
  </si>
  <si>
    <t>[0.703861, 0.719105]</t>
  </si>
  <si>
    <t>2024-09-14 15:11:19.500607</t>
  </si>
  <si>
    <t>2024-09-14 15:26:21.992453</t>
  </si>
  <si>
    <t>[0.500607, 0.515701]</t>
  </si>
  <si>
    <t>2024-09-15 01:11:20.094240</t>
  </si>
  <si>
    <t>2024-09-15 00:17:42.992357</t>
  </si>
  <si>
    <t>2024-09-15 01:14:59.719862</t>
  </si>
  <si>
    <t>2024-09-15 01:36:35.992511</t>
  </si>
  <si>
    <t>[0.719862, 0.734841]</t>
  </si>
  <si>
    <t>2024-09-15 01:17:45.000808</t>
  </si>
  <si>
    <t>2024-09-15 02:23:16.992340</t>
  </si>
  <si>
    <t>[0.000808, 0.016127]</t>
  </si>
  <si>
    <t>2024-09-15 01:20:02.469922</t>
  </si>
  <si>
    <t>2024-09-15 02:23:04.992590</t>
  </si>
  <si>
    <t>[0.469922, 0.484742]</t>
  </si>
  <si>
    <t>2024-09-15 01:22:55.625808</t>
  </si>
  <si>
    <t>2024-09-15 02:13:33.992310</t>
  </si>
  <si>
    <t>[0.625808, 0.641189]</t>
  </si>
  <si>
    <t>[0.673143, 0.688379]</t>
  </si>
  <si>
    <t>2024-09-15 01:24:36.657774</t>
  </si>
  <si>
    <t>2024-09-15 01:39:47.992810</t>
  </si>
  <si>
    <t>[0.609950, 0.625116]</t>
  </si>
  <si>
    <t>2024-09-15 01:26:35.594115</t>
  </si>
  <si>
    <t>2024-09-15 02:01:31.992216</t>
  </si>
  <si>
    <t>[0.094240, 0.109526]</t>
  </si>
  <si>
    <t>2024-09-15 12:09:18.438620</t>
  </si>
  <si>
    <t>2024-09-15 12:24:38.992394</t>
  </si>
  <si>
    <t>[0.438620, 0.453832]</t>
  </si>
  <si>
    <t>2024-09-15 12:12:19.156723</t>
  </si>
  <si>
    <t>2024-09-15 12:47:24.992338</t>
  </si>
  <si>
    <t>[0.172439, 0.188944]</t>
  </si>
  <si>
    <t>2024-09-15 12:15:44.095098</t>
  </si>
  <si>
    <t>2024-09-15 13:06:31.992708</t>
  </si>
  <si>
    <t>[0.095098, 0.109681]</t>
  </si>
  <si>
    <t>2024-09-15 12:18:06.438516</t>
  </si>
  <si>
    <t>2024-09-15 13:21:18.992594</t>
  </si>
  <si>
    <t>[0.438516, 0.453328]</t>
  </si>
  <si>
    <t>2024-09-15 12:20:51.969637</t>
  </si>
  <si>
    <t>2024-09-15 13:26:34.992314</t>
  </si>
  <si>
    <t>[0.969637, 0.985008]</t>
  </si>
  <si>
    <t>2024-09-15 12:31:15.032015</t>
  </si>
  <si>
    <t>2024-09-15 12:53:02.992435</t>
  </si>
  <si>
    <t>[0.032015, 0.047145]</t>
  </si>
  <si>
    <t>2024-09-15 12:34:55.282475</t>
  </si>
  <si>
    <t>2024-09-15 11:41:28.992545</t>
  </si>
  <si>
    <t>[0.282475, 0.297385]</t>
  </si>
  <si>
    <t>2024-09-15 22:19:10.625739</t>
  </si>
  <si>
    <t>2024-09-15 22:34:39.992276</t>
  </si>
  <si>
    <t>[0.640999, 0.656901]</t>
  </si>
  <si>
    <t>2024-09-15 22:24:06.159025</t>
  </si>
  <si>
    <t>2024-09-15 22:59:20.993478</t>
  </si>
  <si>
    <t>[0.159025, 0.172070]</t>
  </si>
  <si>
    <t>2024-09-15 22:28:26.063284</t>
  </si>
  <si>
    <t>2024-09-15 23:19:22.992103</t>
  </si>
  <si>
    <t>[0.063284, 0.079078]</t>
  </si>
  <si>
    <t>2024-09-15 22:30:52.000152</t>
  </si>
  <si>
    <t>2024-09-15 23:34:13.992142</t>
  </si>
  <si>
    <t>[0.017116, 0.031637]</t>
  </si>
  <si>
    <t>2024-09-15 22:36:22.657762</t>
  </si>
  <si>
    <t>2024-09-15 23:42:15.992742</t>
  </si>
  <si>
    <t>[0.657762, 0.672277]</t>
  </si>
  <si>
    <t>2024-09-15 22:38:42.469940</t>
  </si>
  <si>
    <t>2024-09-15 23:00:40.992631</t>
  </si>
  <si>
    <t>[0.469940, 0.484678]</t>
  </si>
  <si>
    <t>2024-09-15 22:41:25.659299</t>
  </si>
  <si>
    <t>2024-09-15 21:48:08.993476</t>
  </si>
  <si>
    <t>[0.659299, 0.672347]</t>
  </si>
  <si>
    <t>24-03-05 12:02:04</t>
  </si>
  <si>
    <t>24-08-01 11:55:18</t>
  </si>
  <si>
    <t>2024-09-16 11:08:19.877503</t>
  </si>
  <si>
    <t>2024-09-16 10:15:14.993216</t>
  </si>
  <si>
    <t>[0.893034, 0.906755]</t>
  </si>
  <si>
    <t>2024-09-16 11:10:40.438154</t>
  </si>
  <si>
    <t>2024-09-16 11:32:51.992112</t>
  </si>
  <si>
    <t>[0.455135, 0.469795]</t>
  </si>
  <si>
    <t>2024-09-16 11:12:34.063561</t>
  </si>
  <si>
    <t>2024-09-16 12:18:39.992562</t>
  </si>
  <si>
    <t>[0.063112, 0.078717]</t>
  </si>
  <si>
    <t>2024-09-16 11:15:16.313876</t>
  </si>
  <si>
    <t>2024-09-16 12:18:49.992705</t>
  </si>
  <si>
    <t>[0.329425, 0.344739]</t>
  </si>
  <si>
    <t>2024-09-16 11:17:22.813311</t>
  </si>
  <si>
    <t>2024-09-16 12:08:30.992354</t>
  </si>
  <si>
    <t>[0.813311, 0.828603]</t>
  </si>
  <si>
    <t>2024-09-16 11:18:57.813008</t>
  </si>
  <si>
    <t>2024-09-16 11:54:23.991996</t>
  </si>
  <si>
    <t>[0.813008, 0.829016]</t>
  </si>
  <si>
    <t>2024-09-16 11:36:16.992095</t>
  </si>
  <si>
    <t>2024-09-16 11:20:36.406907</t>
  </si>
  <si>
    <t>[0.422617, 0.437630]</t>
  </si>
  <si>
    <t xml:space="preserve">24-06-20 17:12:23 </t>
  </si>
  <si>
    <t>24-04-22 11:05:09</t>
  </si>
  <si>
    <t xml:space="preserve">24-02-28 16:35:41 </t>
  </si>
  <si>
    <t xml:space="preserve">24-03-27 14:06:13 </t>
  </si>
  <si>
    <t xml:space="preserve">24-05-27 17:28:36 </t>
  </si>
  <si>
    <t>Device name</t>
  </si>
  <si>
    <t>Last time set time</t>
  </si>
  <si>
    <t>Average with time set</t>
  </si>
  <si>
    <t>Average error before measure</t>
  </si>
  <si>
    <t>Interval average:</t>
  </si>
  <si>
    <t>N/A</t>
  </si>
  <si>
    <t>Time from start (minutes)</t>
  </si>
  <si>
    <t>Average error (s/hr)</t>
  </si>
  <si>
    <t>Time drift (s)</t>
  </si>
  <si>
    <t>2024-09-18 15:43:53.160018</t>
  </si>
  <si>
    <t>2024-09-18 16:00:18.993568</t>
  </si>
  <si>
    <t>[0.160018, 0.172883]</t>
  </si>
  <si>
    <t>2024-09-18 15:47:18.500789</t>
  </si>
  <si>
    <t>2024-09-18 16:23:30.992329</t>
  </si>
  <si>
    <t>[0.516040, 0.531813]</t>
  </si>
  <si>
    <t>2024-09-18 15:52:00.251376</t>
  </si>
  <si>
    <t>2024-09-18 16:58:58.992592</t>
  </si>
  <si>
    <t>[0.251376, 0.266191]</t>
  </si>
  <si>
    <t>2024-09-18 15:58:13.813040</t>
  </si>
  <si>
    <t>2024-09-18 17:02:35.992328</t>
  </si>
  <si>
    <t>[0.813040, 0.828383]</t>
  </si>
  <si>
    <t>2024-09-18 16:03:52.563261</t>
  </si>
  <si>
    <t>2024-09-18 15:11:37.992230</t>
  </si>
  <si>
    <t>[0.578666, 0.594851]</t>
  </si>
  <si>
    <t>2024-09-18 16:05:55.375563</t>
  </si>
  <si>
    <t>2024-09-18 16:29:01.992142</t>
  </si>
  <si>
    <t>[0.375563, 0.391279]</t>
  </si>
  <si>
    <t>2024-09-18 16:09:01.250676</t>
  </si>
  <si>
    <t>2024-09-18 17:00:55.992270</t>
  </si>
  <si>
    <t>[0.250676, 0.266135]</t>
  </si>
  <si>
    <t>Average time drift overall:</t>
  </si>
  <si>
    <t>Average ppm:</t>
  </si>
  <si>
    <t>CALM:</t>
  </si>
  <si>
    <t>CALP:</t>
  </si>
  <si>
    <t>2024-09-19 15:43:59.844296</t>
  </si>
  <si>
    <t>2024-09-19 16:00:44.992264</t>
  </si>
  <si>
    <t>[0.844296, 0.859769]</t>
  </si>
  <si>
    <t>2024-09-19 15:46:29.782647</t>
  </si>
  <si>
    <t>2024-09-19 16:23:01.992372</t>
  </si>
  <si>
    <t>[0.782647, 0.797903]</t>
  </si>
  <si>
    <t>2024-09-19 15:49:27.814050</t>
  </si>
  <si>
    <t>2024-09-19 16:41:41.992750</t>
  </si>
  <si>
    <t>[0.814050, 0.828551]</t>
  </si>
  <si>
    <t>2024-09-19 15:52:58.250589</t>
  </si>
  <si>
    <t>2024-09-19 16:57:40.992154</t>
  </si>
  <si>
    <t>[0.250589, 0.266280]</t>
  </si>
  <si>
    <t>2024-09-19 15:55:40.563751</t>
  </si>
  <si>
    <t>2024-09-19 17:03:01.992580</t>
  </si>
  <si>
    <t>[0.578695, 0.594200]</t>
  </si>
  <si>
    <t>2024-09-19 16:00:03.938356</t>
  </si>
  <si>
    <t>2024-09-19 16:23:33.992462</t>
  </si>
  <si>
    <t>[0.938356, 0.953433]</t>
  </si>
  <si>
    <t>2024-09-19 16:01:46.251217</t>
  </si>
  <si>
    <t>2024-09-19 15:09:52.992348</t>
  </si>
  <si>
    <t>[0.251217, 0.266521]</t>
  </si>
  <si>
    <t>2024-09-21 21:00:09.689789</t>
  </si>
  <si>
    <t>2024-09-21 21:00:53.993150</t>
  </si>
  <si>
    <t>[0.704141, 0.719287]</t>
  </si>
  <si>
    <t>2024-09-21 21:04:35.687923</t>
  </si>
  <si>
    <t>2024-09-21 21:05:19.991898</t>
  </si>
  <si>
    <t>[0.704031, 0.719331]</t>
  </si>
  <si>
    <t>2024-09-21 21:10:37.719742</t>
  </si>
  <si>
    <t>2024-09-21 21:11:21.992412</t>
  </si>
  <si>
    <t>[0.719742, 0.734919]</t>
  </si>
  <si>
    <t>2024-09-21 21:16:09.687953</t>
  </si>
  <si>
    <t>2024-09-21 21:53:28.992089</t>
  </si>
  <si>
    <t>[0.687953, 0.703775]</t>
  </si>
  <si>
    <t>2024-09-21 21:18:35.750849</t>
  </si>
  <si>
    <t>2024-09-21 22:11:36.992443</t>
  </si>
  <si>
    <t>[0.750849, 0.765962]</t>
  </si>
  <si>
    <t>2024-09-21 21:23:22.094299</t>
  </si>
  <si>
    <t>2024-09-21 22:28:53.992182</t>
  </si>
  <si>
    <t>[0.094299, 0.109936]</t>
  </si>
  <si>
    <t>2024-09-21 21:28:04.938384</t>
  </si>
  <si>
    <t>2024-09-21 22:36:19.992466</t>
  </si>
  <si>
    <t>[0.938384, 0.953453]</t>
  </si>
  <si>
    <t>2024-09-21 21:30:54.313859</t>
  </si>
  <si>
    <t>2024-09-21 21:55:19.992242</t>
  </si>
  <si>
    <t>[0.329125, 0.344219]</t>
  </si>
  <si>
    <t>2024-09-21 21:33:35.375889</t>
  </si>
  <si>
    <t>2024-09-21 20:42:32.992002</t>
  </si>
  <si>
    <t>[0.391952, 0.406887]</t>
  </si>
  <si>
    <t>2024-09-21 21:42:52.751297</t>
  </si>
  <si>
    <t>2024-09-21 21:43:36.992489</t>
  </si>
  <si>
    <t>[0.751297, 0.766318]</t>
  </si>
  <si>
    <t>2024-09-22 00:04:01.876255</t>
  </si>
  <si>
    <t>2024-09-22 00:04:45.992249</t>
  </si>
  <si>
    <t>[0.891721, 0.907216]</t>
  </si>
  <si>
    <t>2024-09-22 00:09:16.156929</t>
  </si>
  <si>
    <t>2024-09-22 00:46:37.992202</t>
  </si>
  <si>
    <t>[0.156929, 0.172525]</t>
  </si>
  <si>
    <t>2024-09-22 00:11:28.907082</t>
  </si>
  <si>
    <t>2024-09-21 23:20:28.992175</t>
  </si>
  <si>
    <t>[0.907082, 0.922732]</t>
  </si>
  <si>
    <t>2024-09-22 00:14:47.469358</t>
  </si>
  <si>
    <t>2024-09-22 01:20:21.991942</t>
  </si>
  <si>
    <t>[0.469358, 0.485474]</t>
  </si>
  <si>
    <t>2024-09-22 00:16:40.125925</t>
  </si>
  <si>
    <t>2024-09-22 01:09:43.992262</t>
  </si>
  <si>
    <t>[0.141649, 0.156918]</t>
  </si>
  <si>
    <t>2024-09-22 00:18:55.095329</t>
  </si>
  <si>
    <t>2024-09-22 01:27:12.992502</t>
  </si>
  <si>
    <t>[0.095329, 0.110324]</t>
  </si>
  <si>
    <t>2024-09-22 00:20:57.376606</t>
  </si>
  <si>
    <t>2024-09-22 00:45:25.992528</t>
  </si>
  <si>
    <t>[0.391582, 0.406938]</t>
  </si>
  <si>
    <t>2024-09-22 00:47:33.992495</t>
  </si>
  <si>
    <t>2024-09-22 00:38:42.938930</t>
  </si>
  <si>
    <t>[0.938930, 0.953940]</t>
  </si>
  <si>
    <t>2024-09-22 01:01:10.313512</t>
  </si>
  <si>
    <t>2024-09-22 01:01:09.992079</t>
  </si>
  <si>
    <t>[0.313512, 0.329354]</t>
  </si>
  <si>
    <t xml:space="preserve">24-09-22 01:10:55 </t>
  </si>
  <si>
    <t>24-09-22 00:47:59</t>
  </si>
  <si>
    <t>2024-09-22 01:13:23.188910</t>
  </si>
  <si>
    <t>2024-09-22 01:13:22.992686</t>
  </si>
  <si>
    <t>[0.188910, 0.203537]</t>
  </si>
  <si>
    <t>24-09-22 01:16:05</t>
  </si>
  <si>
    <t>2024-09-22 01:17:52.782067</t>
  </si>
  <si>
    <t>2024-09-22 01:17:51.992464</t>
  </si>
  <si>
    <t>[0.782067, 0.797138]</t>
  </si>
  <si>
    <t>24-09-22 01:21:08</t>
  </si>
  <si>
    <t>2024-09-22 01:22:47.376325</t>
  </si>
  <si>
    <t>2024-09-22 01:22:46.992613</t>
  </si>
  <si>
    <t>[0.376325, 0.391099]</t>
  </si>
  <si>
    <t>24-09-22 01:26:36</t>
  </si>
  <si>
    <t>2024-09-22 01:31:08.876039</t>
  </si>
  <si>
    <t>2024-09-22 01:31:07.992520</t>
  </si>
  <si>
    <t>[0.891992, 0.906384]</t>
  </si>
  <si>
    <t>2024-09-22 01:40:52.907398</t>
  </si>
  <si>
    <t>2024-09-22 01:40:51.992442</t>
  </si>
  <si>
    <t>[0.907398, 0.922514]</t>
  </si>
  <si>
    <t>24-09-22 01:42:44</t>
  </si>
  <si>
    <t>2024-09-22 01:44:38.159164</t>
  </si>
  <si>
    <t>2024-09-22 01:44:37.988356</t>
  </si>
  <si>
    <t>[0.172761, 0.187991]</t>
  </si>
  <si>
    <t>2024-09-22 01:59:50.188188</t>
  </si>
  <si>
    <t>2024-09-22 01:59:49.992056</t>
  </si>
  <si>
    <t>[0.188188, 0.204077]</t>
  </si>
  <si>
    <t>2024-09-22 02:06:37.688380</t>
  </si>
  <si>
    <t>2024-09-22 02:15:29.992170</t>
  </si>
  <si>
    <t>[0.688380, 0.704040]</t>
  </si>
  <si>
    <t>2024-09-22 11:39:44.750927</t>
  </si>
  <si>
    <t>2024-09-22 11:48:44.992236</t>
  </si>
  <si>
    <t>[0.766100, 0.781549]</t>
  </si>
  <si>
    <t>2024-09-22 11:42:44.814252</t>
  </si>
  <si>
    <t>2024-09-22 11:42:43.992848</t>
  </si>
  <si>
    <t>[0.814252, 0.828557]</t>
  </si>
  <si>
    <t>2024-09-22 11:45:49.844725</t>
  </si>
  <si>
    <t>2024-09-22 11:45:48.992440</t>
  </si>
  <si>
    <t>[0.860307, 0.875616]</t>
  </si>
  <si>
    <t>24-09-22 11:48:38</t>
  </si>
  <si>
    <t>2024-09-22 12:18:06.219256</t>
  </si>
  <si>
    <t>2024-09-22 12:18:05.992226</t>
  </si>
  <si>
    <t>[0.219256, 0.234803]</t>
  </si>
  <si>
    <t>2024-09-22 12:21:48.688884</t>
  </si>
  <si>
    <t>2024-09-22 12:21:47.992722</t>
  </si>
  <si>
    <t>[0.688884, 0.703439]</t>
  </si>
  <si>
    <t>2024-09-22 12:24:54.531567</t>
  </si>
  <si>
    <t>2024-09-22 12:24:54.992216</t>
  </si>
  <si>
    <t>[0.531567, 0.547136]</t>
  </si>
  <si>
    <t>2024-09-22 12:28:25.844427</t>
  </si>
  <si>
    <t>2024-09-22 12:28:24.992412</t>
  </si>
  <si>
    <t>[0.844427, 0.859602]</t>
  </si>
  <si>
    <t>2024-09-22 12:30:42.626545</t>
  </si>
  <si>
    <t>2024-09-22 12:30:42.992766</t>
  </si>
  <si>
    <t>[0.626545, 0.641013]</t>
  </si>
  <si>
    <t>№1 - Nothing</t>
  </si>
  <si>
    <t>№2 - Blue tape</t>
  </si>
  <si>
    <t>№3 - ACCZERO PBRC</t>
  </si>
  <si>
    <t>№4 - IMGCOF</t>
  </si>
  <si>
    <t>№5 - ERR15</t>
  </si>
  <si>
    <t>№6 - IMG COR LSU</t>
  </si>
  <si>
    <t>№7 - IVAN ERR15</t>
  </si>
  <si>
    <t>№8 - AIM TRAINING DEVICE</t>
  </si>
  <si>
    <t>Time drift (s/hr)</t>
  </si>
  <si>
    <t>Correction Value</t>
  </si>
  <si>
    <t>New Time Drift</t>
  </si>
  <si>
    <t>Predicted drift</t>
  </si>
  <si>
    <t>2024-09-22 13:31:04.188263</t>
  </si>
  <si>
    <t>2024-09-22 13:31:03.992496</t>
  </si>
  <si>
    <t>[0.203904, 0.219006]</t>
  </si>
  <si>
    <t>2024-09-22 18:16:10.157452</t>
  </si>
  <si>
    <t>2024-09-22 18:16:08.992724</t>
  </si>
  <si>
    <t>[0.172188, 0.188029]</t>
  </si>
  <si>
    <t>[0.906693, 0.922776]</t>
  </si>
  <si>
    <t>2024-09-22 18:21:16.906693</t>
  </si>
  <si>
    <t>2024-09-22 18:21:15.991958</t>
  </si>
  <si>
    <t>2024-09-22 18:25:32.063538</t>
  </si>
  <si>
    <t>2024-09-22 18:25:30.992292</t>
  </si>
  <si>
    <t>[0.063538, 0.078955]</t>
  </si>
  <si>
    <t>2024-09-22 18:29:53.843933</t>
  </si>
  <si>
    <t>2024-09-22 18:29:52.992156</t>
  </si>
  <si>
    <t>[0.843933, 0.859621]</t>
  </si>
  <si>
    <t>[0.000605, 0.017182]</t>
  </si>
  <si>
    <t>2024-09-22 18:32:57.000605</t>
  </si>
  <si>
    <t>2024-09-22 18:32:57.991712</t>
  </si>
  <si>
    <t>2024-09-22 18:36:56.907651</t>
  </si>
  <si>
    <t>2024-09-22 18:36:57.992721</t>
  </si>
  <si>
    <t>[0.907651, 0.922209]</t>
  </si>
  <si>
    <t>[0.047928, 0.063071]</t>
  </si>
  <si>
    <t>2024-09-22 18:39:31.032430</t>
  </si>
  <si>
    <t>2024-09-22 18:39:30.992484</t>
  </si>
  <si>
    <t>24-09-22 18:55:58</t>
  </si>
  <si>
    <t>2024-09-22 19:00:14.846746</t>
  </si>
  <si>
    <t>2024-09-22 19:00:13.993126</t>
  </si>
  <si>
    <t>[0.846746, 0.860493]</t>
  </si>
  <si>
    <t>2024-09-23 10:11:08.531382</t>
  </si>
  <si>
    <t>2024-09-23 10:11:06.992079</t>
  </si>
  <si>
    <t>[0.531382, 0.547224]</t>
  </si>
  <si>
    <t>2024-09-23 10:14:04.000387</t>
  </si>
  <si>
    <t>2024-09-23 10:14:02.992032</t>
  </si>
  <si>
    <t>[0.000387, 0.016322]</t>
  </si>
  <si>
    <t>2024-09-23 10:17:08.156828</t>
  </si>
  <si>
    <t>2024-09-23 10:17:06.992203</t>
  </si>
  <si>
    <t>[0.156828, 0.172422]</t>
  </si>
  <si>
    <t>2024-09-23 10:20:46.314256</t>
  </si>
  <si>
    <t>2024-09-23 10:20:45.992646</t>
  </si>
  <si>
    <t>[0.314256, 0.328965]</t>
  </si>
  <si>
    <t>2024-09-23 10:23:56.992417</t>
  </si>
  <si>
    <t>2024-09-23 10:23:53.501120</t>
  </si>
  <si>
    <t>[0.501120, 0.516286]</t>
  </si>
  <si>
    <t>2024-09-23 10:28:19.158682</t>
  </si>
  <si>
    <t>2024-09-23 10:28:21.992290</t>
  </si>
  <si>
    <t>[0.172224, 0.188467]</t>
  </si>
  <si>
    <t>2024-09-23 10:31:13.063161</t>
  </si>
  <si>
    <t>2024-09-23 10:31:13.992396</t>
  </si>
  <si>
    <t>[0.063161, 0.078368]</t>
  </si>
  <si>
    <t>2024-09-23 10:35:12.283399</t>
  </si>
  <si>
    <t>2024-09-23 10:35:10.992937</t>
  </si>
  <si>
    <t>[0.283399, 0.297525]</t>
  </si>
  <si>
    <t>Time drift reduced by %</t>
  </si>
  <si>
    <t>Actual correction value:</t>
  </si>
  <si>
    <t>Average correction value:</t>
  </si>
  <si>
    <t>Correction value error:</t>
  </si>
  <si>
    <t>2024-09-23 13:37:16.125536</t>
  </si>
  <si>
    <t>2024-09-23 13:37:14.992338</t>
  </si>
  <si>
    <t>[0.141759, 0.156480]</t>
  </si>
  <si>
    <t>2024-09-23 13:41:50.720575</t>
  </si>
  <si>
    <t>2024-09-23 13:41:48.992855</t>
  </si>
  <si>
    <t>[0.734707, 0.750841]</t>
  </si>
  <si>
    <t>2024-09-23 13:48:43.000914</t>
  </si>
  <si>
    <t>2024-09-23 13:48:43.992344</t>
  </si>
  <si>
    <t>[0.000914, 0.016225]</t>
  </si>
  <si>
    <t>2024-09-23 13:57:16.531850</t>
  </si>
  <si>
    <t>2024-09-23 13:57:14.992196</t>
  </si>
  <si>
    <t>2024-09-23 14:00:49.907380</t>
  </si>
  <si>
    <t>2024-09-23 14:00:52.992170</t>
  </si>
  <si>
    <t>[0.922360, 0.938352]</t>
  </si>
  <si>
    <t>2024-09-23 14:03:36.314412</t>
  </si>
  <si>
    <t>2024-09-23 14:03:34.992958</t>
  </si>
  <si>
    <t>[0.314412, 0.328495]</t>
  </si>
  <si>
    <t>2024-09-23 14:05:52.031760</t>
  </si>
  <si>
    <t>2024-09-23 14:05:55.992022</t>
  </si>
  <si>
    <t>[0.048052, 0.062710]</t>
  </si>
  <si>
    <t>2024-09-23 14:08:17.344690</t>
  </si>
  <si>
    <t>2024-09-23 14:08:16.992076</t>
  </si>
  <si>
    <t>[0.344690, 0.360538]</t>
  </si>
  <si>
    <t>2024-09-23 23:48:31.376892</t>
  </si>
  <si>
    <t>2024-09-23 23:48:33.992890</t>
  </si>
  <si>
    <t>[0.376892, 0.391111]</t>
  </si>
  <si>
    <t>2024-09-23 23:51:44.563335</t>
  </si>
  <si>
    <t>2024-09-23 23:51:40.992362</t>
  </si>
  <si>
    <t>[0.563335, 0.578611]</t>
  </si>
  <si>
    <t>2024-09-23 23:54:55.094926</t>
  </si>
  <si>
    <t>2024-09-23 23:54:58.992532</t>
  </si>
  <si>
    <t>[0.094926, 0.109861]</t>
  </si>
  <si>
    <t>2024-09-23 23:58:34.937654</t>
  </si>
  <si>
    <t>2024-09-23 23:58:34.991653</t>
  </si>
  <si>
    <t>[0.937654, 0.954348]</t>
  </si>
  <si>
    <t>2024-09-24 00:01:35.376002</t>
  </si>
  <si>
    <t>2024-09-24 00:01:31.992536</t>
  </si>
  <si>
    <t>[0.376002, 0.390929]</t>
  </si>
  <si>
    <t>2024-09-24 00:04:29.938420</t>
  </si>
  <si>
    <t>2024-09-24 00:04:26.992326</t>
  </si>
  <si>
    <t>[0.954095, 0.969105]</t>
  </si>
  <si>
    <t>2024-09-24 00:06:33.563113</t>
  </si>
  <si>
    <t>2024-09-24 00:06:31.992430</t>
  </si>
  <si>
    <t>[0.578910, 0.593981]</t>
  </si>
  <si>
    <t>2024-09-24 00:09:45.781820</t>
  </si>
  <si>
    <t>2024-09-24 00:09:42.992291</t>
  </si>
  <si>
    <t>[0.797085, 0.812983]</t>
  </si>
  <si>
    <t>2024-09-24 10:25:32.314315</t>
  </si>
  <si>
    <t>2024-09-24 10:25:27.992900</t>
  </si>
  <si>
    <t>[0.314315, 0.328516]</t>
  </si>
  <si>
    <t>2024-09-24 10:29:35.876506</t>
  </si>
  <si>
    <t>2024-09-24 10:29:40.992619</t>
  </si>
  <si>
    <t>[0.876506, 0.891269]</t>
  </si>
  <si>
    <t>2024-09-24 10:31:58.407565</t>
  </si>
  <si>
    <t>2024-09-24 10:31:54.992576</t>
  </si>
  <si>
    <t>[0.423284, 0.438143]</t>
  </si>
  <si>
    <t>2024-09-24 11:07:31.313181</t>
  </si>
  <si>
    <t>2024-09-24 11:07:27.992356</t>
  </si>
  <si>
    <t>[0.313181, 0.328468]</t>
  </si>
  <si>
    <t>2024-09-24 11:09:55.657274</t>
  </si>
  <si>
    <t>2024-09-24 11:09:55.992599</t>
  </si>
  <si>
    <t>[0.673475, 0.688368]</t>
  </si>
  <si>
    <t>2024-09-24 11:13:51.125690</t>
  </si>
  <si>
    <t>2024-09-24 11:13:46.992328</t>
  </si>
  <si>
    <t>[0.141774, 0.156975]</t>
  </si>
  <si>
    <t>[0.531850, 0.547458]</t>
  </si>
  <si>
    <t>2024-09-24 11:17:04.563508</t>
  </si>
  <si>
    <t>2024-09-24 11:17:07.992166</t>
  </si>
  <si>
    <t>[0.563508, 0.579175]</t>
  </si>
  <si>
    <t>2024-09-24 11:19:16.656859</t>
  </si>
  <si>
    <t>2024-09-24 11:19:14.992122</t>
  </si>
  <si>
    <t>[0.673042, 0.687849]</t>
  </si>
  <si>
    <t>2024-09-25 00:44:34.969387</t>
  </si>
  <si>
    <t>2024-09-25 00:44:29.992150</t>
  </si>
  <si>
    <t>[0.984993, 0.999999]</t>
  </si>
  <si>
    <t>2024-09-25 00:50:15.844560</t>
  </si>
  <si>
    <t>2024-09-25 00:50:11.992404</t>
  </si>
  <si>
    <t>[0.844560, 0.859752]</t>
  </si>
  <si>
    <t>2024-09-25 00:53:11.969365</t>
  </si>
  <si>
    <t>2024-09-25 00:53:07.991902</t>
  </si>
  <si>
    <t>[0.969365, 0.985562]</t>
  </si>
  <si>
    <t>2024-09-25 00:55:23.251474</t>
  </si>
  <si>
    <t>2024-09-25 00:55:23.992752</t>
  </si>
  <si>
    <t>[0.251474, 0.265971]</t>
  </si>
  <si>
    <t>2024-09-25 00:57:32.095163</t>
  </si>
  <si>
    <t>2024-09-25 00:57:26.992588</t>
  </si>
  <si>
    <t>[0.110213, 0.125531]</t>
  </si>
  <si>
    <t>2024-09-25 01:00:14.095500</t>
  </si>
  <si>
    <t>2024-09-25 01:00:20.992746</t>
  </si>
  <si>
    <t>[0.110369, 0.125513]</t>
  </si>
  <si>
    <t>2024-09-25 01:02:49.407077</t>
  </si>
  <si>
    <t>2024-09-25 01:02:53.992217</t>
  </si>
  <si>
    <t>[0.423088, 0.437789]</t>
  </si>
  <si>
    <t>2024-09-25 01:05:15.657238</t>
  </si>
  <si>
    <t>2024-09-25 01:05:13.992296</t>
  </si>
  <si>
    <t>[0.657238, 0.672647]</t>
  </si>
  <si>
    <t>2024-09-25 11:41:18.813327</t>
  </si>
  <si>
    <t>2024-09-25 11:41:16.992444</t>
  </si>
  <si>
    <t>[0.813327, 0.828439]</t>
  </si>
  <si>
    <t>2024-09-25 11:47:42.719576</t>
  </si>
  <si>
    <t>2024-09-25 11:47:36.992528</t>
  </si>
  <si>
    <t>[0.719576, 0.734521]</t>
  </si>
  <si>
    <t>2024-09-25 11:50:57.344451</t>
  </si>
  <si>
    <t>2024-09-25 11:50:52.992082</t>
  </si>
  <si>
    <t>[0.360919, 0.376295]</t>
  </si>
  <si>
    <t>2024-09-25 11:53:45.625940</t>
  </si>
  <si>
    <t>2024-09-25 11:53:50.992280</t>
  </si>
  <si>
    <t>[0.625940, 0.641379]</t>
  </si>
  <si>
    <t>2024-09-25 11:57:35.814015</t>
  </si>
  <si>
    <t>2024-09-25 11:57:29.992722</t>
  </si>
  <si>
    <t>[0.814015, 0.828570]</t>
  </si>
  <si>
    <t>2024-09-25 12:08:02.001344</t>
  </si>
  <si>
    <t>2024-09-25 12:08:02.992632</t>
  </si>
  <si>
    <t>[0.001344, 0.016080]</t>
  </si>
  <si>
    <t>2024-09-25 12:11:05.814060</t>
  </si>
  <si>
    <t>2024-09-25 12:11:13.992726</t>
  </si>
  <si>
    <t>[0.814060, 0.828608]</t>
  </si>
  <si>
    <t>2024-09-25 12:13:51.469879</t>
  </si>
  <si>
    <t>2024-09-25 12:13:46.992354</t>
  </si>
  <si>
    <t>[0.469879, 0.485171]</t>
  </si>
  <si>
    <t>2024-09-25 23:34:40.501884</t>
  </si>
  <si>
    <t>2024-09-25 23:34:33.992905</t>
  </si>
  <si>
    <t>[0.516766, 0.531535]</t>
  </si>
  <si>
    <t>2024-09-25 23:37:09.720163</t>
  </si>
  <si>
    <t>2024-09-25 23:37:10.992612</t>
  </si>
  <si>
    <t>2024-09-25 23:39:03.720418</t>
  </si>
  <si>
    <t>2024-09-25 23:39:09.992754</t>
  </si>
  <si>
    <t>[0.735573, 0.750786]</t>
  </si>
  <si>
    <t>2024-09-25 23:41:00.438270</t>
  </si>
  <si>
    <t>2024-09-25 23:41:09.992433</t>
  </si>
  <si>
    <t>[0.438270, 0.453404]</t>
  </si>
  <si>
    <t>2024-09-25 23:42:58.844030</t>
  </si>
  <si>
    <t>2024-09-25 23:42:56.992050</t>
  </si>
  <si>
    <t>[0.860527, 0.875443]</t>
  </si>
  <si>
    <t>2024-09-25 23:44:57.969278</t>
  </si>
  <si>
    <t>2024-09-25 23:44:52.992290</t>
  </si>
  <si>
    <t>[0.969278, 0.984698]</t>
  </si>
  <si>
    <t>2024-09-25 23:47:42.875549</t>
  </si>
  <si>
    <t>2024-09-25 23:47:37.992259</t>
  </si>
  <si>
    <t>[0.875549, 0.891031]</t>
  </si>
  <si>
    <t>[0.720163, 0.734940]</t>
  </si>
  <si>
    <t>2024-09-25 23:50:43.532274</t>
  </si>
  <si>
    <t>2024-09-25 23:50:36.992546</t>
  </si>
  <si>
    <t>[0.532274, 0.547181]</t>
  </si>
  <si>
    <t>2024-09-26 18:01:33.626289</t>
  </si>
  <si>
    <t>2024-09-26 18:01:25.992666</t>
  </si>
  <si>
    <t>2024-09-26 18:03:49.657063</t>
  </si>
  <si>
    <t>2024-09-26 18:03:43.992096</t>
  </si>
  <si>
    <t>[0.673573, 0.687732]</t>
  </si>
  <si>
    <t>[0.641987, 0.656786]</t>
  </si>
  <si>
    <t>2024-09-26 18:08:20.282443</t>
  </si>
  <si>
    <t>2024-09-26 18:08:21.992615</t>
  </si>
  <si>
    <t>[0.282443, 0.297213]</t>
  </si>
  <si>
    <t>2024-09-26 18:12:43.781930</t>
  </si>
  <si>
    <t>2024-09-26 18:12:37.992209</t>
  </si>
  <si>
    <t>[0.797100, 0.813213]</t>
  </si>
  <si>
    <t>2024-09-26 18:14:49.968970</t>
  </si>
  <si>
    <t>2024-09-26 18:14:47.991961</t>
  </si>
  <si>
    <t>[0.968970, 0.985048]</t>
  </si>
  <si>
    <t>2024-09-26 18:17:08.378803</t>
  </si>
  <si>
    <t>2024-09-26 18:17:15.993501</t>
  </si>
  <si>
    <t>[0.378803, 0.391801]</t>
  </si>
  <si>
    <t>2024-09-26 18:21:37.251143</t>
  </si>
  <si>
    <t>2024-09-26 18:21:48.992458</t>
  </si>
  <si>
    <t>[0.251143, 0.266228]</t>
  </si>
  <si>
    <t>2024-09-26 18:20:17.782184</t>
  </si>
  <si>
    <t>2024-09-26 18:20:09.992290</t>
  </si>
  <si>
    <t>[0.797389, 0.813205]</t>
  </si>
  <si>
    <t>2024-09-27 01:47:20.376627</t>
  </si>
  <si>
    <t>2024-09-27 01:47:11.992394</t>
  </si>
  <si>
    <t>[0.376627, 0.391840]</t>
  </si>
  <si>
    <t>2024-09-27 01:52:33.032030</t>
  </si>
  <si>
    <t>2024-09-27 01:52:34.992352</t>
  </si>
  <si>
    <t>[0.049172, 0.063098]</t>
  </si>
  <si>
    <t>2024-09-27 01:55:37.063626</t>
  </si>
  <si>
    <t>2024-09-27 01:55:30.992378</t>
  </si>
  <si>
    <t>[0.079154, 0.094515]</t>
  </si>
  <si>
    <t>2024-09-27 01:58:47.751906</t>
  </si>
  <si>
    <t>2024-09-27 01:58:55.992898</t>
  </si>
  <si>
    <t>2024-09-27 02:01:09.063401</t>
  </si>
  <si>
    <t>2024-09-27 02:01:00.992229</t>
  </si>
  <si>
    <t>[0.078695, 0.094485]</t>
  </si>
  <si>
    <t>2024-09-27 02:04:17.937797</t>
  </si>
  <si>
    <t>2024-09-27 02:04:15.992214</t>
  </si>
  <si>
    <t>[0.954003, 0.969720]</t>
  </si>
  <si>
    <t>2024-09-27 02:06:53.282019</t>
  </si>
  <si>
    <t>2024-09-27 02:07:05.992332</t>
  </si>
  <si>
    <t>[0.297948, 0.312642]</t>
  </si>
  <si>
    <t>[0.969770, 0.985028]</t>
  </si>
  <si>
    <t>2024-09-27 02:09:31.969770</t>
  </si>
  <si>
    <t>2024-09-27 02:09:25.992371</t>
  </si>
  <si>
    <t>[0.751906, 0.766110]</t>
  </si>
  <si>
    <t>2024-09-27 12:11:22.532024</t>
  </si>
  <si>
    <t>2024-09-27 12:11:15.992473</t>
  </si>
  <si>
    <t>[0.548146, 0.563044]</t>
  </si>
  <si>
    <t>2024-09-27 12:13:51.126163</t>
  </si>
  <si>
    <t>2024-09-27 12:14:04.992332</t>
  </si>
  <si>
    <t>[0.126163, 0.141498]</t>
  </si>
  <si>
    <t>2024-09-27 12:15:36.532116</t>
  </si>
  <si>
    <t>2024-09-27 12:15:29.992456</t>
  </si>
  <si>
    <t>[0.532116, 0.547203]</t>
  </si>
  <si>
    <t>2024-09-27 12:21:13.781447</t>
  </si>
  <si>
    <t>2024-09-27 12:21:15.992092</t>
  </si>
  <si>
    <t>[0.798877, 0.812836]</t>
  </si>
  <si>
    <t>2024-09-27 12:23:57.969667</t>
  </si>
  <si>
    <t>2024-09-27 12:24:06.992418</t>
  </si>
  <si>
    <t>[0.969667, 0.984830]</t>
  </si>
  <si>
    <t>2024-09-27 12:27:22.063438</t>
  </si>
  <si>
    <t>2024-09-27 12:27:12.992328</t>
  </si>
  <si>
    <t>[0.063438, 0.078781]</t>
  </si>
  <si>
    <t>2024-09-27 12:29:14.001141</t>
  </si>
  <si>
    <t>2024-09-27 12:29:11.992684</t>
  </si>
  <si>
    <t>[0.001141, 0.015773]</t>
  </si>
  <si>
    <t>2024-09-27 12:31:34.719303</t>
  </si>
  <si>
    <t>2024-09-27 12:31:25.991974</t>
  </si>
  <si>
    <t>[0.719303, 0.735356]</t>
  </si>
  <si>
    <t>2024-09-28 00:45:37.531527</t>
  </si>
  <si>
    <t>[0.531527, 0.547377]</t>
  </si>
  <si>
    <t>2024-09-28 00:45:27.992075</t>
  </si>
  <si>
    <t>2024-09-28 00:48:00.969835</t>
  </si>
  <si>
    <t>2024-09-28 00:47:58.992572</t>
  </si>
  <si>
    <t>[0.985029, 0.999999]</t>
  </si>
  <si>
    <t>2024-09-28 00:54:01.782743</t>
  </si>
  <si>
    <t>2024-09-28 00:53:51.992379</t>
  </si>
  <si>
    <t>[0.797492, 0.812885]</t>
  </si>
  <si>
    <t>2024-09-28 00:57:33.938520</t>
  </si>
  <si>
    <t>2024-09-28 00:57:43.992516</t>
  </si>
  <si>
    <t>[0.938520, 0.953488]</t>
  </si>
  <si>
    <t>2024-09-28 01:00:17.002171</t>
  </si>
  <si>
    <t>2024-09-28 01:00:09.992510</t>
  </si>
  <si>
    <t>[0.016636, 0.031976]</t>
  </si>
  <si>
    <t>2024-09-28 01:02:18.594352</t>
  </si>
  <si>
    <t>2024-09-28 01:02:33.992108</t>
  </si>
  <si>
    <t>[0.594352, 0.610136]</t>
  </si>
  <si>
    <t>2024-09-28 01:05:03.375347</t>
  </si>
  <si>
    <t>2024-09-28 01:05:05.992058</t>
  </si>
  <si>
    <t>[0.391626, 0.406736]</t>
  </si>
  <si>
    <t>2024-09-28 01:07:18.001545</t>
  </si>
  <si>
    <t>2024-09-28 01:07:10.992745</t>
  </si>
  <si>
    <t>[0.016493, 0.031525]</t>
  </si>
  <si>
    <t>Firmware version:</t>
  </si>
  <si>
    <t>2024-09-23 JITAI 1080 1IMG LDA BT RTC AIM21</t>
  </si>
  <si>
    <t>2024-09-23 JITAI 1080 1IMG LDA BT RTC AIM22</t>
  </si>
  <si>
    <t>2024-09-23 JITAI 1080 1IMG LDA BT RTC AIM23</t>
  </si>
  <si>
    <t>2024-09-23 JITAI 1080 1IMG LDA BT RTC AIM24</t>
  </si>
  <si>
    <t>2024-09-23 NPA LDA noBT 3IMG RTC AIM21</t>
  </si>
  <si>
    <t>24-09-28 01:33:13</t>
  </si>
  <si>
    <t>2024-09-28 01:34:57.812938</t>
  </si>
  <si>
    <t>2024-09-28 01:34:56.992102</t>
  </si>
  <si>
    <t>[0.812938, 0.828735]</t>
  </si>
  <si>
    <t>24-09-28 01:38:33</t>
  </si>
  <si>
    <t>2024-09-28 01:40:05.875976</t>
  </si>
  <si>
    <t>2024-09-28 01:40:04.992380</t>
  </si>
  <si>
    <t>[0.891155, 0.907845]</t>
  </si>
  <si>
    <t>24-09-28 01:45:09</t>
  </si>
  <si>
    <t>2024-09-28 01:46:45.407196</t>
  </si>
  <si>
    <t>2024-09-28 01:46:44.992442</t>
  </si>
  <si>
    <t>[0.423389, 0.437930]</t>
  </si>
  <si>
    <t>24-09-28 01:50:51</t>
  </si>
  <si>
    <t>2024-09-28 01:52:31.314057</t>
  </si>
  <si>
    <t>2024-09-28 01:52:30.992572</t>
  </si>
  <si>
    <t>[0.314057, 0.328912]</t>
  </si>
  <si>
    <t>24-09-28 01:57:34</t>
  </si>
  <si>
    <t>2024-09-28 02:02:40.626052</t>
  </si>
  <si>
    <t>2024-09-28 02:02:39.992388</t>
  </si>
  <si>
    <t>[0.641008, 0.656391]</t>
  </si>
  <si>
    <t>24-09-28 02:07:48</t>
  </si>
  <si>
    <t>2024-09-28 02:09:37.876612</t>
  </si>
  <si>
    <t>2024-09-28 02:09:36.992798</t>
  </si>
  <si>
    <t>[0.891679, 0.906701]</t>
  </si>
  <si>
    <t>24-09-28 02:13:24</t>
  </si>
  <si>
    <t>2024-09-28 02:14:48.563807</t>
  </si>
  <si>
    <t>2024-09-28 02:14:47.992722</t>
  </si>
  <si>
    <t>[0.563807, 0.578364]</t>
  </si>
  <si>
    <t>24-09-28 02:18:21</t>
  </si>
  <si>
    <t>2024-09-28 02:19:55.157426</t>
  </si>
  <si>
    <t>2024-09-28 02:19:54.992678</t>
  </si>
  <si>
    <t>[0.157426, 0.172069]</t>
  </si>
  <si>
    <t>2024-09-28 15:08:30.626022</t>
  </si>
  <si>
    <t>2024-09-28 15:08:28.992363</t>
  </si>
  <si>
    <t>[0.643450, 0.656502]</t>
  </si>
  <si>
    <t>2024-09-28 15:10:22.470385</t>
  </si>
  <si>
    <t>2024-09-28 15:10:20.992888</t>
  </si>
  <si>
    <t>[0.485484, 0.500123]</t>
  </si>
  <si>
    <t>2024-09-28 15:12:02.031817</t>
  </si>
  <si>
    <t>2024-09-28 15:12:00.991986</t>
  </si>
  <si>
    <t>[0.031817, 0.047845]</t>
  </si>
  <si>
    <t>2024-09-28 15:13:33.378354</t>
  </si>
  <si>
    <t>2024-09-28 15:13:32.993640</t>
  </si>
  <si>
    <t>[0.392273, 0.406832]</t>
  </si>
  <si>
    <t>2024-09-28 15:16:13.907475</t>
  </si>
  <si>
    <t>2024-09-28 15:16:13.991970</t>
  </si>
  <si>
    <t>[0.907475, 0.923535]</t>
  </si>
  <si>
    <t>2024-09-28 15:18:01.063224</t>
  </si>
  <si>
    <t>2024-09-28 15:18:01.992266</t>
  </si>
  <si>
    <t>[0.063224, 0.078692]</t>
  </si>
  <si>
    <t>2024-09-28 15:19:56.876292</t>
  </si>
  <si>
    <t>2024-09-28 15:19:56.992699</t>
  </si>
  <si>
    <t>[0.893064, 0.906732]</t>
  </si>
  <si>
    <t>2024-09-28 15:22:54.656880</t>
  </si>
  <si>
    <t>2024-09-28 15:22:52.992222</t>
  </si>
  <si>
    <t>[0.656880, 0.672437]</t>
  </si>
  <si>
    <t>2024-09-28 23:39:40.406710</t>
  </si>
  <si>
    <t>[0.422566, 0.437793]</t>
  </si>
  <si>
    <t>2024-09-28 23:39:38.992113</t>
  </si>
  <si>
    <t>2024-09-28 23:41:47.408713</t>
  </si>
  <si>
    <t>2024-09-28 23:41:46.993354</t>
  </si>
  <si>
    <t>[0.421990, 0.437711]</t>
  </si>
  <si>
    <t>2024-09-28 23:44:14.032035</t>
  </si>
  <si>
    <t>2024-09-28 23:44:15.992286</t>
  </si>
  <si>
    <t>[0.032035, 0.047463]</t>
  </si>
  <si>
    <t>2024-09-28 23:47:28.187866</t>
  </si>
  <si>
    <t>2024-09-28 23:47:25.992084</t>
  </si>
  <si>
    <t>[0.187866, 0.203698]</t>
  </si>
  <si>
    <t>2024-09-28 23:49:24.625496</t>
  </si>
  <si>
    <t>2024-09-28 23:49:24.992066</t>
  </si>
  <si>
    <t>[0.625496, 0.641363]</t>
  </si>
  <si>
    <t>2024-09-28 23:52:25.188076</t>
  </si>
  <si>
    <t>2024-09-28 23:52:25.992376</t>
  </si>
  <si>
    <t>[0.188076, 0.203325]</t>
  </si>
  <si>
    <t>2024-09-28 23:54:41.782276</t>
  </si>
  <si>
    <t>2024-09-28 23:54:39.992220</t>
  </si>
  <si>
    <t>[0.782276, 0.797835]</t>
  </si>
  <si>
    <t>2024-09-28 23:56:29.094320</t>
  </si>
  <si>
    <t>2024-09-28 23:56:26.992276</t>
  </si>
  <si>
    <t>[0.110596, 0.125957]</t>
  </si>
  <si>
    <t>2024-09-29 22:19:20.563775</t>
  </si>
  <si>
    <t>2024-09-29 22:19:17.992568</t>
  </si>
  <si>
    <t>[0.563775, 0.578638]</t>
  </si>
  <si>
    <t>2024-09-29 22:23:05.251419</t>
  </si>
  <si>
    <t>2024-09-29 22:23:02.992795</t>
  </si>
  <si>
    <t>[0.266787, 0.281809]</t>
  </si>
  <si>
    <t>2024-09-29 22:25:32.531671</t>
  </si>
  <si>
    <t>2024-09-29 22:25:30.992296</t>
  </si>
  <si>
    <t>[0.531671, 0.547079]</t>
  </si>
  <si>
    <t>2024-09-29 22:27:22.219238</t>
  </si>
  <si>
    <t>2024-09-29 22:27:25.992188</t>
  </si>
  <si>
    <t>[0.219238, 0.234863]</t>
  </si>
  <si>
    <t>2024-09-29 22:29:51.782031</t>
  </si>
  <si>
    <t>2024-09-29 22:29:53.992418</t>
  </si>
  <si>
    <t>[0.797492, 0.812661]</t>
  </si>
  <si>
    <t>2024-09-29 23:04:42.219815</t>
  </si>
  <si>
    <t>2024-09-29 23:04:40.992054</t>
  </si>
  <si>
    <t>[0.235250, 0.250143]</t>
  </si>
  <si>
    <t>2024-09-29 23:06:51.281935</t>
  </si>
  <si>
    <t>2024-09-29 23:06:51.992438</t>
  </si>
  <si>
    <t>[0.297835, 0.312881]</t>
  </si>
  <si>
    <t>2024-09-29 23:08:46.125823</t>
  </si>
  <si>
    <t>2024-09-29 23:08:51.992462</t>
  </si>
  <si>
    <t>[0.125823, 0.140900]</t>
  </si>
  <si>
    <t>2024-09-30 19:13:55.969470</t>
  </si>
  <si>
    <t>2024-09-30 19:13:50.992204</t>
  </si>
  <si>
    <t>2024-09-30 19:16:10.812817</t>
  </si>
  <si>
    <t>2024-09-30 19:16:17.992274</t>
  </si>
  <si>
    <t>[0.812817, 0.828269]</t>
  </si>
  <si>
    <t>2024-09-30 19:18:08.625268</t>
  </si>
  <si>
    <t>2024-09-30 19:18:12.992234</t>
  </si>
  <si>
    <t>[0.642046, 0.656784]</t>
  </si>
  <si>
    <t>2024-09-30 19:20:39.438178</t>
  </si>
  <si>
    <t>2024-09-30 19:20:38.992140</t>
  </si>
  <si>
    <t>[0.438178, 0.453898]</t>
  </si>
  <si>
    <t>2024-09-30 19:28:00.281832</t>
  </si>
  <si>
    <t>2024-09-30 19:28:01.992218</t>
  </si>
  <si>
    <t>[0.281832, 0.297397]</t>
  </si>
  <si>
    <t>2024-09-30 19:30:17.125115</t>
  </si>
  <si>
    <t>2024-09-30 19:30:13.992013</t>
  </si>
  <si>
    <t>2024-09-30 19:34:57.562914</t>
  </si>
  <si>
    <t>2024-09-30 19:34:52.992200</t>
  </si>
  <si>
    <t>[0.578277, 0.594214]</t>
  </si>
  <si>
    <t>2024-09-30 19:37:50.438081</t>
  </si>
  <si>
    <t>2024-09-30 19:37:46.992214</t>
  </si>
  <si>
    <t>[0.454337, 0.469087]</t>
  </si>
  <si>
    <t>[0.969470, 0.985061]</t>
  </si>
  <si>
    <t>[0.141322, 0.156648]</t>
  </si>
  <si>
    <t>2024-10-01 00:45:49.406574</t>
  </si>
  <si>
    <t>2024-10-01 00:45:48.992190</t>
  </si>
  <si>
    <t>[0.422589, 0.438518]</t>
  </si>
  <si>
    <t>2024-10-01 00:49:03.094497</t>
  </si>
  <si>
    <t>2024-10-01 00:49:04.991984</t>
  </si>
  <si>
    <t>[0.109808, 0.125280]</t>
  </si>
  <si>
    <t>2024-10-01 00:51:47.344732</t>
  </si>
  <si>
    <t>2024-10-01 00:51:43.991296</t>
  </si>
  <si>
    <t>[0.344732, 0.362139]</t>
  </si>
  <si>
    <t>2024-10-01 00:55:51.094945</t>
  </si>
  <si>
    <t>2024-10-01 00:55:58.992488</t>
  </si>
  <si>
    <t>[0.110353, 0.125229]</t>
  </si>
  <si>
    <t>2024-10-01 00:58:05.157315</t>
  </si>
  <si>
    <t>2024-10-01 00:58:09.992596</t>
  </si>
  <si>
    <t>[0.172898, 0.188075]</t>
  </si>
  <si>
    <t>2024-10-01 01:00:21.282510</t>
  </si>
  <si>
    <t>2024-10-01 01:00:15.992499</t>
  </si>
  <si>
    <t>[0.298214, 0.313696]</t>
  </si>
  <si>
    <t>2024-10-01 01:03:36.875547</t>
  </si>
  <si>
    <t>2024-10-01 01:03:31.991572</t>
  </si>
  <si>
    <t>[0.875547, 0.892402]</t>
  </si>
  <si>
    <t>2024-10-01 01:05:31.658635</t>
  </si>
  <si>
    <t>2024-10-01 01:05:27.993228</t>
  </si>
  <si>
    <t>[0.672927, 0.687994]</t>
  </si>
  <si>
    <t>2024-10-01 09:34:57.969032</t>
  </si>
  <si>
    <t>2024-10-01 09:35:07.992060</t>
  </si>
  <si>
    <t>[0.969032, 0.984913]</t>
  </si>
  <si>
    <t>2024-10-01 09:37:29.220768</t>
  </si>
  <si>
    <t>2024-10-01 09:37:24.993042</t>
  </si>
  <si>
    <t>[0.235108, 0.250940]</t>
  </si>
  <si>
    <t>2024-10-01 09:39:29.313950</t>
  </si>
  <si>
    <t>2024-10-01 09:39:29.992815</t>
  </si>
  <si>
    <t>2024-10-01 09:42:19.813392</t>
  </si>
  <si>
    <t>2024-10-01 09:42:14.992162</t>
  </si>
  <si>
    <t>[0.813392, 0.829068]</t>
  </si>
  <si>
    <t>2024-10-01 09:46:54.720481</t>
  </si>
  <si>
    <t>2024-10-01 09:46:57.992544</t>
  </si>
  <si>
    <t>[0.735375, 0.750126]</t>
  </si>
  <si>
    <t>2024-10-01 09:50:32.595667</t>
  </si>
  <si>
    <t>2024-10-01 09:50:29.992914</t>
  </si>
  <si>
    <t>[0.595667, 0.609839]</t>
  </si>
  <si>
    <t>2024-10-01 09:52:13.344963</t>
  </si>
  <si>
    <t>2024-10-01 09:52:19.992490</t>
  </si>
  <si>
    <t>[0.344963, 0.359984]</t>
  </si>
  <si>
    <t>2024-10-01 09:54:33.907144</t>
  </si>
  <si>
    <t>2024-10-01 09:54:30.992349</t>
  </si>
  <si>
    <t>[0.907144, 0.922446]</t>
  </si>
  <si>
    <t>[0.313950, 0.328320]</t>
  </si>
  <si>
    <t>Standard Deviation</t>
  </si>
  <si>
    <t>2024-10-01 13:15:18.532303</t>
  </si>
  <si>
    <t>2024-10-01 13:15:28.992528</t>
  </si>
  <si>
    <t>[0.532303, 0.547247]</t>
  </si>
  <si>
    <t>2024-10-01 13:18:18.000358</t>
  </si>
  <si>
    <t>2024-10-01 13:18:12.992214</t>
  </si>
  <si>
    <t>[0.017656, 0.031848]</t>
  </si>
  <si>
    <t>2024-10-01 13:23:56.719875</t>
  </si>
  <si>
    <t>2024-10-01 13:23:53.992587</t>
  </si>
  <si>
    <t>[0.719875, 0.734701]</t>
  </si>
  <si>
    <t>2024-10-01 13:25:41.438850</t>
  </si>
  <si>
    <t>2024-10-01 13:25:36.992587</t>
  </si>
  <si>
    <t>2024-10-01 13:27:07.031803</t>
  </si>
  <si>
    <t>2024-10-01 13:27:13.992302</t>
  </si>
  <si>
    <t>[0.031803, 0.047199]</t>
  </si>
  <si>
    <t>2024-10-01 13:29:51.594886</t>
  </si>
  <si>
    <t>2024-10-01 13:29:54.992514</t>
  </si>
  <si>
    <t>[0.610055, 0.625544]</t>
  </si>
  <si>
    <t>2024-10-01 13:31:27.282087</t>
  </si>
  <si>
    <t>2024-10-01 13:31:27.992197</t>
  </si>
  <si>
    <t>[0.297314, 0.312998]</t>
  </si>
  <si>
    <t>2024-10-01 13:33:41.031911</t>
  </si>
  <si>
    <t>2024-10-01 13:33:37.992256</t>
  </si>
  <si>
    <t>[0.047593, 0.062794]</t>
  </si>
  <si>
    <t>[0.438850, 0.453676]</t>
  </si>
  <si>
    <t>2024-10-02 00:49:47.687952</t>
  </si>
  <si>
    <t>2024-10-02 00:49:39.992266</t>
  </si>
  <si>
    <t>[0.687952, 0.703420]</t>
  </si>
  <si>
    <t>2024-10-02 00:52:11.031561</t>
  </si>
  <si>
    <t>2024-10-02 00:52:16.992048</t>
  </si>
  <si>
    <t>[0.047460, 0.062926]</t>
  </si>
  <si>
    <t>2024-10-02 00:55:36.407019</t>
  </si>
  <si>
    <t>2024-10-02 00:55:30.992322</t>
  </si>
  <si>
    <t>[0.407019, 0.422376]</t>
  </si>
  <si>
    <t>2024-10-02 00:57:16.187976</t>
  </si>
  <si>
    <t>2024-10-02 00:57:17.992061</t>
  </si>
  <si>
    <t>[0.187976, 0.203854]</t>
  </si>
  <si>
    <t>2024-10-02 01:00:08.219323</t>
  </si>
  <si>
    <t>2024-10-02 01:00:06.992217</t>
  </si>
  <si>
    <t>[0.219323, 0.234889]</t>
  </si>
  <si>
    <t>2024-10-02 01:01:34.000869</t>
  </si>
  <si>
    <t>2024-10-02 01:01:26.992431</t>
  </si>
  <si>
    <t>[0.016357, 0.031695]</t>
  </si>
  <si>
    <t>2024-10-02 01:03:34.094274</t>
  </si>
  <si>
    <t>2024-10-02 01:03:28.992196</t>
  </si>
  <si>
    <t>[0.094274, 0.109883]</t>
  </si>
  <si>
    <t>2024-10-02 01:05:28.032314</t>
  </si>
  <si>
    <t>2024-10-02 01:05:37.992458</t>
  </si>
  <si>
    <t>[0.032314, 0.047397]</t>
  </si>
  <si>
    <t>2024-10-02 09:44:18.031698</t>
  </si>
  <si>
    <t>2024-10-02 09:44:28.992015</t>
  </si>
  <si>
    <t>[0.047723, 0.062906]</t>
  </si>
  <si>
    <t>2024-10-02 09:46:30.531529</t>
  </si>
  <si>
    <t>2024-10-02 09:46:22.991954</t>
  </si>
  <si>
    <t>[0.531529, 0.547621]</t>
  </si>
  <si>
    <t>2024-10-02 09:50:01.469142</t>
  </si>
  <si>
    <t>2024-10-02 09:49:55.992262</t>
  </si>
  <si>
    <t>[0.485704, 0.500564]</t>
  </si>
  <si>
    <t>2024-10-02 09:51:42.250508</t>
  </si>
  <si>
    <t>2024-10-02 09:51:40.992342</t>
  </si>
  <si>
    <t>[0.266293, 0.281618]</t>
  </si>
  <si>
    <t>2024-10-02 09:54:41.938194</t>
  </si>
  <si>
    <t>2024-10-02 09:54:43.992240</t>
  </si>
  <si>
    <t>[0.938194, 0.953715]</t>
  </si>
  <si>
    <t>2024-10-02 09:56:34.781837</t>
  </si>
  <si>
    <t>2024-10-02 09:56:28.992348</t>
  </si>
  <si>
    <t>[0.781837, 0.797141]</t>
  </si>
  <si>
    <t>2024-10-02 09:58:36.313815</t>
  </si>
  <si>
    <t>2024-10-02 09:58:42.992526</t>
  </si>
  <si>
    <t>[0.313815, 0.328762]</t>
  </si>
  <si>
    <t>2024-10-02 10:00:52.251247</t>
  </si>
  <si>
    <t>2024-10-02 10:00:43.992458</t>
  </si>
  <si>
    <t>[0.266887, 0.281441]</t>
  </si>
  <si>
    <t>2024-10-02 15:18:49.502378</t>
  </si>
  <si>
    <t>2024-10-02 15:18:40.993222</t>
  </si>
  <si>
    <t>[0.516377, 0.531750]</t>
  </si>
  <si>
    <t>2024-10-02 15:21:54.750046</t>
  </si>
  <si>
    <t>2024-10-02 15:21:46.991860</t>
  </si>
  <si>
    <t>[0.765870, 0.781480]</t>
  </si>
  <si>
    <t>2024-10-02 15:26:27.907000</t>
  </si>
  <si>
    <t>2024-10-02 15:26:21.992346</t>
  </si>
  <si>
    <t>[0.907000, 0.922309]</t>
  </si>
  <si>
    <t>2024-10-02 15:30:45.626078</t>
  </si>
  <si>
    <t>2024-10-02 15:30:39.992629</t>
  </si>
  <si>
    <t>[0.626078, 0.640820]</t>
  </si>
  <si>
    <t>2024-10-02 15:33:15.250846</t>
  </si>
  <si>
    <t>2024-10-02 15:33:26.992209</t>
  </si>
  <si>
    <t>[0.266890, 0.281926]</t>
  </si>
  <si>
    <t>2024-10-02 15:35:43.751317</t>
  </si>
  <si>
    <t>2024-10-02 15:35:50.992322</t>
  </si>
  <si>
    <t>[0.766327, 0.781713]</t>
  </si>
  <si>
    <t>2024-10-02 15:38:34.688377</t>
  </si>
  <si>
    <t>2024-10-02 15:38:36.992452</t>
  </si>
  <si>
    <t>[0.688377, 0.703473]</t>
  </si>
  <si>
    <t>2024-10-02 15:40:18.156503</t>
  </si>
  <si>
    <t>2024-10-02 15:40:16.992101</t>
  </si>
  <si>
    <t>[0.172703, 0.187843]</t>
  </si>
  <si>
    <t>2024-10-03 01:03:26.188498</t>
  </si>
  <si>
    <t>2024-10-03 01:03:16.992329</t>
  </si>
  <si>
    <t>[0.204863, 0.220165]</t>
  </si>
  <si>
    <t>2024-10-03 01:06:58.156803</t>
  </si>
  <si>
    <t>2024-10-03 01:06:56.992202</t>
  </si>
  <si>
    <t>[0.156803, 0.172399]</t>
  </si>
  <si>
    <t>2024-10-03 01:08:50.344051</t>
  </si>
  <si>
    <t>2024-10-03 01:08:52.992194</t>
  </si>
  <si>
    <t>[0.360530, 0.375124]</t>
  </si>
  <si>
    <t>2024-10-03 01:10:51.938473</t>
  </si>
  <si>
    <t>2024-10-03 01:10:59.992506</t>
  </si>
  <si>
    <t>[0.938473, 0.953461]</t>
  </si>
  <si>
    <t>2024-10-03 01:13:16.250562</t>
  </si>
  <si>
    <t>2024-10-03 01:13:09.992181</t>
  </si>
  <si>
    <t>[0.250562, 0.266200]</t>
  </si>
  <si>
    <t>2024-10-03 01:15:04.969064</t>
  </si>
  <si>
    <t>2024-10-03 01:14:58.992232</t>
  </si>
  <si>
    <t>[0.984829, 0.999999]</t>
  </si>
  <si>
    <t>2024-10-03 01:17:05.282726</t>
  </si>
  <si>
    <t>2024-10-03 01:16:56.992200</t>
  </si>
  <si>
    <t>[0.282726, 0.298327]</t>
  </si>
  <si>
    <t>2024-10-03 01:18:34.062977</t>
  </si>
  <si>
    <t>2024-10-03 01:18:46.992146</t>
  </si>
  <si>
    <t>[0.062977, 0.078685]</t>
  </si>
  <si>
    <t>2024-10-03 12:03:09.063277</t>
  </si>
  <si>
    <t>2024-10-03 12:02:58.992509</t>
  </si>
  <si>
    <t>[0.079473, 0.094372]</t>
  </si>
  <si>
    <t>2024-10-03 12:05:42.813822</t>
  </si>
  <si>
    <t>2024-10-03 12:05:56.992695</t>
  </si>
  <si>
    <t>[0.813822, 0.828431]</t>
  </si>
  <si>
    <t>2024-10-03 12:07:48.938038</t>
  </si>
  <si>
    <t>2024-10-03 12:07:39.991992</t>
  </si>
  <si>
    <t>[0.953853, 0.969254]</t>
  </si>
  <si>
    <t>2024-10-03 12:10:37.470427</t>
  </si>
  <si>
    <t>2024-10-03 12:10:30.992365</t>
  </si>
  <si>
    <t>[0.470427, 0.485697]</t>
  </si>
  <si>
    <t>2024-10-03 12:12:33.719132</t>
  </si>
  <si>
    <t>2024-10-03 12:12:26.992056</t>
  </si>
  <si>
    <t>[0.734835, 0.751141]</t>
  </si>
  <si>
    <t>2024-10-03 12:14:35.094638</t>
  </si>
  <si>
    <t>2024-10-03 12:14:43.992502</t>
  </si>
  <si>
    <t>[0.094638, 0.109635]</t>
  </si>
  <si>
    <t>2024-10-03 12:16:51.063007</t>
  </si>
  <si>
    <t>2024-10-03 12:16:53.992362</t>
  </si>
  <si>
    <t>[0.078507, 0.094823]</t>
  </si>
  <si>
    <t>2024-10-03 12:19:05.219693</t>
  </si>
  <si>
    <t>2024-10-03 12:19:03.992506</t>
  </si>
  <si>
    <t>[0.219693, 0.234681]</t>
  </si>
  <si>
    <t>2024-10-04 01:26:38.188602</t>
  </si>
  <si>
    <t>2024-10-04 01:26:53.992430</t>
  </si>
  <si>
    <t>[0.204170, 0.219202]</t>
  </si>
  <si>
    <t>2024-10-04 01:29:39.688598</t>
  </si>
  <si>
    <t>2024-10-04 01:29:29.992626</t>
  </si>
  <si>
    <t>[0.704816, 0.719538]</t>
  </si>
  <si>
    <t>2024-10-04 01:31:55.001277</t>
  </si>
  <si>
    <t>2024-10-04 01:32:04.992506</t>
  </si>
  <si>
    <t>[0.016374, 0.031989]</t>
  </si>
  <si>
    <t>2024-10-04 01:34:52.219407</t>
  </si>
  <si>
    <t>2024-10-04 01:34:50.992443</t>
  </si>
  <si>
    <t>[0.219407, 0.234521]</t>
  </si>
  <si>
    <t>2024-10-04 01:39:04.875311</t>
  </si>
  <si>
    <t>2024-10-04 01:38:53.992167</t>
  </si>
  <si>
    <t>[0.875311, 0.890977]</t>
  </si>
  <si>
    <t>2024-10-04 01:42:31.688677</t>
  </si>
  <si>
    <t>2024-10-04 01:42:34.992598</t>
  </si>
  <si>
    <t>[0.703703, 0.719371]</t>
  </si>
  <si>
    <t>2024-10-04 01:45:46.250640</t>
  </si>
  <si>
    <t>2024-10-04 01:45:38.992209</t>
  </si>
  <si>
    <t>2024-10-04 01:47:51.001583</t>
  </si>
  <si>
    <t>2024-10-04 01:47:43.992868</t>
  </si>
  <si>
    <t>[0.001583, 0.015848]</t>
  </si>
  <si>
    <t>[0.250640, 0.266222]</t>
  </si>
  <si>
    <t>2024-10-04 11:23:41.594570</t>
  </si>
  <si>
    <t>2024-10-04 11:23:29.992508</t>
  </si>
  <si>
    <t>[0.610225, 0.625902]</t>
  </si>
  <si>
    <t>2024-10-04 11:28:34.407665</t>
  </si>
  <si>
    <t>2024-10-04 11:28:26.992803</t>
  </si>
  <si>
    <t>[0.422807, 0.438845]</t>
  </si>
  <si>
    <t>2024-10-04 11:35:00.688476</t>
  </si>
  <si>
    <t>2024-10-04 11:34:52.992240</t>
  </si>
  <si>
    <t>[0.688476, 0.703996]</t>
  </si>
  <si>
    <t>2024-10-04 11:37:54.469429</t>
  </si>
  <si>
    <t>2024-10-04 11:37:57.992298</t>
  </si>
  <si>
    <t>[0.469429, 0.484832]</t>
  </si>
  <si>
    <t>2024-10-04 11:40:48.281754</t>
  </si>
  <si>
    <t>2024-10-04 11:40:46.992239</t>
  </si>
  <si>
    <t>[0.281754, 0.297276]</t>
  </si>
  <si>
    <t>2024-10-04 11:42:50.251130</t>
  </si>
  <si>
    <t>2024-10-04 11:43:00.992348</t>
  </si>
  <si>
    <t>[0.266566, 0.281570]</t>
  </si>
  <si>
    <t>2024-10-04 11:45:58.313534</t>
  </si>
  <si>
    <t>2024-10-04 11:45:47.992402</t>
  </si>
  <si>
    <t>[0.328688, 0.344290]</t>
  </si>
  <si>
    <t>2024-10-04 11:49:14.970142</t>
  </si>
  <si>
    <t>2024-10-04 11:49:31.992591</t>
  </si>
  <si>
    <t>[0.970142, 0.984961]</t>
  </si>
  <si>
    <t>2024-10-04 14:24:57.376115</t>
  </si>
  <si>
    <t>2024-10-04 14:25:00.992448</t>
  </si>
  <si>
    <t>[0.376115, 0.391218]</t>
  </si>
  <si>
    <t>2024-10-04 14:27:55.626246</t>
  </si>
  <si>
    <t>2024-10-04 14:28:12.992406</t>
  </si>
  <si>
    <t>[0.626246, 0.641433]</t>
  </si>
  <si>
    <t>2024-10-04 14:29:36.282254</t>
  </si>
  <si>
    <t>2024-10-04 14:29:34.992492</t>
  </si>
  <si>
    <t>[0.282254, 0.297269]</t>
  </si>
  <si>
    <t>2024-10-04 14:31:54.469747</t>
  </si>
  <si>
    <t>2024-10-04 14:31:43.992310</t>
  </si>
  <si>
    <t>[0.485728, 0.500619]</t>
  </si>
  <si>
    <t>2024-10-04 14:33:51.000618</t>
  </si>
  <si>
    <t>2024-10-04 14:34:01.992234</t>
  </si>
  <si>
    <t>[0.017113, 0.031669]</t>
  </si>
  <si>
    <t>2024-10-04 14:35:51.782433</t>
  </si>
  <si>
    <t>2024-10-04 14:35:43.992632</t>
  </si>
  <si>
    <t>[0.782433, 0.797170]</t>
  </si>
  <si>
    <t>2024-10-04 14:37:20.533126</t>
  </si>
  <si>
    <t>2024-10-04 14:37:12.992874</t>
  </si>
  <si>
    <t>[0.533126, 0.547379]</t>
  </si>
  <si>
    <t>2024-10-04 14:41:09.782311</t>
  </si>
  <si>
    <t>2024-10-04 14:40:57.992542</t>
  </si>
  <si>
    <t>[0.782311, 0.797226]</t>
  </si>
  <si>
    <t>2024-10-05 21:49:43.594574</t>
  </si>
  <si>
    <t>2024-10-05 21:49:29.992139</t>
  </si>
  <si>
    <t>[0.594574, 0.610296]</t>
  </si>
  <si>
    <t>2024-10-05 21:51:48.375980</t>
  </si>
  <si>
    <t>2024-10-05 21:51:52.992462</t>
  </si>
  <si>
    <t>[0.391367, 0.406671]</t>
  </si>
  <si>
    <t>2024-10-05 21:53:36.188115</t>
  </si>
  <si>
    <t>2024-10-05 21:53:34.991779</t>
  </si>
  <si>
    <t>[0.188115, 0.204557]</t>
  </si>
  <si>
    <t>2024-10-05 21:55:36.656911</t>
  </si>
  <si>
    <t>2024-10-05 21:55:27.992242</t>
  </si>
  <si>
    <t>[0.672940, 0.688132]</t>
  </si>
  <si>
    <t>2024-10-05 21:57:46.688725</t>
  </si>
  <si>
    <t>2024-10-05 21:58:07.992446</t>
  </si>
  <si>
    <t>[0.703765, 0.719254]</t>
  </si>
  <si>
    <t>2024-10-05 21:59:27.875588</t>
  </si>
  <si>
    <t>2024-10-05 21:59:18.992238</t>
  </si>
  <si>
    <t>[0.891375, 0.906722]</t>
  </si>
  <si>
    <t>2024-10-05 22:01:12.189537</t>
  </si>
  <si>
    <t>2024-10-05 22:00:59.993132</t>
  </si>
  <si>
    <t>[0.189537, 0.203273]</t>
  </si>
  <si>
    <t>2024-10-05 22:02:54.407586</t>
  </si>
  <si>
    <t>2024-10-05 22:03:07.992680</t>
  </si>
  <si>
    <t>[0.407586, 0.422226]</t>
  </si>
  <si>
    <t>2024-10-06 13:36:36.876175</t>
  </si>
  <si>
    <t>2024-10-06 13:36:59.992306</t>
  </si>
  <si>
    <t>[0.891233, 0.906890]</t>
  </si>
  <si>
    <t>2024-10-06 13:39:46.125663</t>
  </si>
  <si>
    <t>2024-10-06 13:39:32.992290</t>
  </si>
  <si>
    <t>[0.125663, 0.141082]</t>
  </si>
  <si>
    <t>2024-10-06 13:41:37.187930</t>
  </si>
  <si>
    <t>2024-10-06 13:41:51.992275</t>
  </si>
  <si>
    <t>[0.203478, 0.219680]</t>
  </si>
  <si>
    <t>2024-10-06 13:43:42.562659</t>
  </si>
  <si>
    <t>2024-10-06 13:43:32.991976</t>
  </si>
  <si>
    <t>[0.562659, 0.578708]</t>
  </si>
  <si>
    <t>2024-10-06 13:45:55.344035</t>
  </si>
  <si>
    <t>2024-10-06 13:45:45.992094</t>
  </si>
  <si>
    <t>[0.344035, 0.359847]</t>
  </si>
  <si>
    <t>2024-10-06 13:47:46.595614</t>
  </si>
  <si>
    <t>2024-10-06 13:47:31.992532</t>
  </si>
  <si>
    <t>[0.610633, 0.625868]</t>
  </si>
  <si>
    <t>2024-10-06 13:49:42.251024</t>
  </si>
  <si>
    <t>2024-10-06 13:49:40.992402</t>
  </si>
  <si>
    <t>[0.266472, 0.281676]</t>
  </si>
  <si>
    <t>2024-10-06 13:53:15.970145</t>
  </si>
  <si>
    <t>2024-10-06 13:53:20.992676</t>
  </si>
  <si>
    <t>[0.985111, 0.999999]</t>
  </si>
  <si>
    <t>2024-10-06 17:21:39.938133</t>
  </si>
  <si>
    <t>2024-10-06 17:21:54.992182</t>
  </si>
  <si>
    <t>[0.938133, 0.953770]</t>
  </si>
  <si>
    <t>2024-10-06 17:24:25.440049</t>
  </si>
  <si>
    <t>2024-10-06 17:24:48.993033</t>
  </si>
  <si>
    <t>[0.440049, 0.453983]</t>
  </si>
  <si>
    <t>2024-10-06 17:27:02.344526</t>
  </si>
  <si>
    <t>2024-10-06 17:26:48.992120</t>
  </si>
  <si>
    <t>[0.360723, 0.375835]</t>
  </si>
  <si>
    <t>2024-10-06 17:29:53.907135</t>
  </si>
  <si>
    <t>2024-10-06 17:29:38.992460</t>
  </si>
  <si>
    <t>[0.907135, 0.922215]</t>
  </si>
  <si>
    <t>2024-10-06 17:31:49.500776</t>
  </si>
  <si>
    <t>2024-10-06 17:31:39.992360</t>
  </si>
  <si>
    <t>[0.500776, 0.516057]</t>
  </si>
  <si>
    <t>2024-10-06 17:33:37.251604</t>
  </si>
  <si>
    <t>2024-10-06 17:33:35.992685</t>
  </si>
  <si>
    <t>[0.266492, 0.281889]</t>
  </si>
  <si>
    <t>2024-10-06 17:35:43.875897</t>
  </si>
  <si>
    <t>2024-10-06 17:35:48.992424</t>
  </si>
  <si>
    <t>[0.891435, 0.906421]</t>
  </si>
  <si>
    <t>2024-10-06 17:37:48.719564</t>
  </si>
  <si>
    <t>2024-10-06 17:37:38.992380</t>
  </si>
  <si>
    <t>[0.719564, 0.734803]</t>
  </si>
  <si>
    <t>2024-10-07 00:06:25.750804</t>
  </si>
  <si>
    <t>2024-10-07 00:06:15.992463</t>
  </si>
  <si>
    <t>[0.750804, 0.765877]</t>
  </si>
  <si>
    <t>2024-10-07 00:08:49.251060</t>
  </si>
  <si>
    <t>2024-10-07 00:08:47.992440</t>
  </si>
  <si>
    <t>[0.251060, 0.266180]</t>
  </si>
  <si>
    <t>2024-10-07 00:12:19.282361</t>
  </si>
  <si>
    <t>2024-10-07 00:12:03.992550</t>
  </si>
  <si>
    <t>[0.282361, 0.297260]</t>
  </si>
  <si>
    <t>2024-10-07 00:16:00.719571</t>
  </si>
  <si>
    <t>2024-10-07 00:15:46.992454</t>
  </si>
  <si>
    <t>[0.719571, 0.734663]</t>
  </si>
  <si>
    <t>2024-10-07 00:19:48.970272</t>
  </si>
  <si>
    <t>2024-10-07 00:19:38.992426</t>
  </si>
  <si>
    <t>[0.970272, 0.985420]</t>
  </si>
  <si>
    <t>2024-10-07 00:24:04.313234</t>
  </si>
  <si>
    <t>2024-10-07 00:24:19.992405</t>
  </si>
  <si>
    <t>[0.328371, 0.344440]</t>
  </si>
  <si>
    <t>2024-10-07 00:26:56.563703</t>
  </si>
  <si>
    <t>2024-10-07 00:27:20.991937</t>
  </si>
  <si>
    <t>[0.579257, 0.594233]</t>
  </si>
  <si>
    <t>2024-10-07 00:31:24.657009</t>
  </si>
  <si>
    <t>2024-10-07 00:31:29.992196</t>
  </si>
  <si>
    <t>[0.657009, 0.672617]</t>
  </si>
  <si>
    <t>2024-10-07 11:40:24.062913</t>
  </si>
  <si>
    <t>2024-10-07 11:40:07.991534</t>
  </si>
  <si>
    <t>[0.078805, 0.093975]</t>
  </si>
  <si>
    <t>2024-10-07 11:44:10.251096</t>
  </si>
  <si>
    <t>2024-10-07 11:44:08.992407</t>
  </si>
  <si>
    <t>[0.266606, 0.281746]</t>
  </si>
  <si>
    <t>2024-10-07 11:46:43.345234</t>
  </si>
  <si>
    <t>2024-10-07 11:46:28.992630</t>
  </si>
  <si>
    <t>[0.360500, 0.376343]</t>
  </si>
  <si>
    <t>2024-10-07 11:49:13.407182</t>
  </si>
  <si>
    <t>2024-10-07 11:49:02.992463</t>
  </si>
  <si>
    <t>[0.407182, 0.422256]</t>
  </si>
  <si>
    <t>2024-10-07 11:52:26.313563</t>
  </si>
  <si>
    <t>2024-10-07 11:52:31.992432</t>
  </si>
  <si>
    <t>[0.313563, 0.328700]</t>
  </si>
  <si>
    <t>2024-10-07 11:55:03.219841</t>
  </si>
  <si>
    <t>2024-10-07 11:55:28.992469</t>
  </si>
  <si>
    <t>[0.219841, 0.234903]</t>
  </si>
  <si>
    <t>2024-10-07 11:57:00.188113</t>
  </si>
  <si>
    <t>2024-10-07 11:56:49.992144</t>
  </si>
  <si>
    <t>[0.204234, 0.219337]</t>
  </si>
  <si>
    <t>2024-10-07 12:01:04.312987</t>
  </si>
  <si>
    <t>2024-10-07 12:01:20.992174</t>
  </si>
  <si>
    <t>[0.328995, 0.344266]</t>
  </si>
  <si>
    <t>2024-10-08 12:28:22.250475</t>
  </si>
  <si>
    <t>2024-10-08 12:28:20.992182</t>
  </si>
  <si>
    <t>[0.250475, 0.266110]</t>
  </si>
  <si>
    <t>2024-10-08 12:49:57.750987</t>
  </si>
  <si>
    <t>2024-10-08 12:49:41.992496</t>
  </si>
  <si>
    <t>[0.766824, 0.781774]</t>
  </si>
  <si>
    <t>2024-10-08 12:51:48.563304</t>
  </si>
  <si>
    <t>2024-10-08 12:51:54.992505</t>
  </si>
  <si>
    <t>[0.579036, 0.594289]</t>
  </si>
  <si>
    <t>2024-10-08 12:55:15.375572</t>
  </si>
  <si>
    <t>2024-10-08 12:55:03.992220</t>
  </si>
  <si>
    <t>[0.375572, 0.391132]</t>
  </si>
  <si>
    <t>2024-10-08 12:57:10.563752</t>
  </si>
  <si>
    <t>2024-10-08 12:56:52.992474</t>
  </si>
  <si>
    <t>[0.563752, 0.578803]</t>
  </si>
  <si>
    <t>2024-10-08 12:58:47.157126</t>
  </si>
  <si>
    <t>2024-10-08 12:59:15.992432</t>
  </si>
  <si>
    <t>[0.173162, 0.187993]</t>
  </si>
  <si>
    <t>2024-10-08 13:00:30.281966</t>
  </si>
  <si>
    <t>2024-10-08 13:00:48.992212</t>
  </si>
  <si>
    <t>[0.281966, 0.297543]</t>
  </si>
  <si>
    <t>2024-10-08 13:02:19.156866</t>
  </si>
  <si>
    <t>2024-10-08 13:02:07.992182</t>
  </si>
  <si>
    <t>[0.172974, 0.187749]</t>
  </si>
  <si>
    <t>2024-10-09 10:49:44.031594</t>
  </si>
  <si>
    <t>2024-10-09 10:49:23.991716</t>
  </si>
  <si>
    <t>[0.048135, 0.063251]</t>
  </si>
  <si>
    <t>2024-10-09 10:52:50.992260</t>
  </si>
  <si>
    <t>2024-10-09 10:53:09.125889</t>
  </si>
  <si>
    <t>2024-10-09 10:55:23.313894</t>
  </si>
  <si>
    <t>2024-10-09 10:55:09.992795</t>
  </si>
  <si>
    <t>[0.329082, 0.344539]</t>
  </si>
  <si>
    <t>2024-10-09 10:57:01.157542</t>
  </si>
  <si>
    <t>2024-10-09 10:56:47.992593</t>
  </si>
  <si>
    <t>[0.157542, 0.172356]</t>
  </si>
  <si>
    <t>[0.125889, 0.141370]</t>
  </si>
  <si>
    <t>2024-10-09 10:58:42.344829</t>
  </si>
  <si>
    <t>2024-10-09 10:58:39.992446</t>
  </si>
  <si>
    <t>[0.359590, 0.375110]</t>
  </si>
  <si>
    <t>2024-10-09 11:00:17.626981</t>
  </si>
  <si>
    <t>2024-10-09 11:00:36.992474</t>
  </si>
  <si>
    <t>[0.626981, 0.642033]</t>
  </si>
  <si>
    <t>2024-10-09 11:01:52.594019</t>
  </si>
  <si>
    <t>2024-10-09 11:02:22.992247</t>
  </si>
  <si>
    <t>[0.594019, 0.609525]</t>
  </si>
  <si>
    <t>2024-10-09 11:03:23.063505</t>
  </si>
  <si>
    <t>2024-10-09 11:03:28.992478</t>
  </si>
  <si>
    <t>[0.063505, 0.078550]</t>
  </si>
  <si>
    <t>2024-10-09 15:40:03.938774</t>
  </si>
  <si>
    <t>2024-10-09 15:40:09.992640</t>
  </si>
  <si>
    <t>[0.954499, 0.970094]</t>
  </si>
  <si>
    <t>2024-10-09 15:42:57.344829</t>
  </si>
  <si>
    <t>2024-10-09 15:42:43.992490</t>
  </si>
  <si>
    <t>[0.344829, 0.359849]</t>
  </si>
  <si>
    <t>2024-10-09 15:44:38.532139</t>
  </si>
  <si>
    <t>2024-10-09 15:44:24.992507</t>
  </si>
  <si>
    <t>[0.532139, 0.547125]</t>
  </si>
  <si>
    <t>2024-10-09 15:46:33.375922</t>
  </si>
  <si>
    <t>2024-10-09 15:46:30.992440</t>
  </si>
  <si>
    <t>[0.375922, 0.391042]</t>
  </si>
  <si>
    <t>2024-10-09 15:48:28.282237</t>
  </si>
  <si>
    <t>2024-10-09 15:48:47.992446</t>
  </si>
  <si>
    <t>[0.282237, 0.297344]</t>
  </si>
  <si>
    <t>2024-10-09 15:50:54.001105</t>
  </si>
  <si>
    <t>2024-10-09 15:51:24.992372</t>
  </si>
  <si>
    <t>[0.001105, 0.016361]</t>
  </si>
  <si>
    <t>2024-10-09 15:52:57.375464</t>
  </si>
  <si>
    <t>2024-10-09 15:52:38.992058</t>
  </si>
  <si>
    <t>[0.375464, 0.391349]</t>
  </si>
  <si>
    <t>2024-10-09 15:54:53.376538</t>
  </si>
  <si>
    <t>2024-10-09 15:54:32.992788</t>
  </si>
  <si>
    <t>[0.376538, 0.390963]</t>
  </si>
  <si>
    <t>2024-10-10 14:40:45.345011</t>
  </si>
  <si>
    <t>2024-10-10 14:40:51.992728</t>
  </si>
  <si>
    <t>[0.345011, 0.359556]</t>
  </si>
  <si>
    <t>2024-10-10 14:42:56.991954</t>
  </si>
  <si>
    <t>[0.281962, 0.298055]</t>
  </si>
  <si>
    <t>2024-10-10 14:43:11.281962</t>
  </si>
  <si>
    <t>2024-10-10 14:48:05.218960</t>
  </si>
  <si>
    <t>2024-10-10 14:48:38.991935</t>
  </si>
  <si>
    <t>[0.234883, 0.250231]</t>
  </si>
  <si>
    <t>2024-10-10 14:58:47.751312</t>
  </si>
  <si>
    <t>2024-10-10 14:58:27.992288</t>
  </si>
  <si>
    <t>[0.751312, 0.766735]</t>
  </si>
  <si>
    <t>2024-10-10 15:02:02.814011</t>
  </si>
  <si>
    <t>2024-10-10 15:01:40.992546</t>
  </si>
  <si>
    <t>[0.814011, 0.828919]</t>
  </si>
  <si>
    <t>2024-10-10 15:04:47.532051</t>
  </si>
  <si>
    <t>2024-10-10 15:05:08.992438</t>
  </si>
  <si>
    <t>[0.532051, 0.547176]</t>
  </si>
  <si>
    <t>2024-10-10 15:07:37.532534</t>
  </si>
  <si>
    <t>2024-10-10 15:07:22.992604</t>
  </si>
  <si>
    <t>[0.548672, 0.562884]</t>
  </si>
  <si>
    <t>2024-10-10 15:11:10.563583</t>
  </si>
  <si>
    <t>2024-10-10 15:11:07.992370</t>
  </si>
  <si>
    <t>[0.563583, 0.578844]</t>
  </si>
  <si>
    <t>2024-10-11 13:32:58.376006</t>
  </si>
  <si>
    <t>2024-10-11 13:33:05.992311</t>
  </si>
  <si>
    <t>[0.376006, 0.391384]</t>
  </si>
  <si>
    <t>2024-10-11 13:35:27.220199</t>
  </si>
  <si>
    <t>2024-10-11 13:36:03.992662</t>
  </si>
  <si>
    <t>[0.234860, 0.250622]</t>
  </si>
  <si>
    <t>2024-10-11 13:43:54.906829</t>
  </si>
  <si>
    <t>2024-10-11 13:43:31.992234</t>
  </si>
  <si>
    <t>[0.922865, 0.937755]</t>
  </si>
  <si>
    <t>2024-10-11 13:47:43.125822</t>
  </si>
  <si>
    <t>2024-10-11 13:47:27.992383</t>
  </si>
  <si>
    <t>[0.142200, 0.1576500]</t>
  </si>
  <si>
    <t>2024-10-11 13:51:34.907242</t>
  </si>
  <si>
    <t>2024-10-11 13:51:19.992461</t>
  </si>
  <si>
    <t>[0.922940, 0.938152]</t>
  </si>
  <si>
    <t>2024-10-11 13:54:54.281537</t>
  </si>
  <si>
    <t>2024-10-11 13:54:51.991970</t>
  </si>
  <si>
    <t>[0.281537, 0.297598]</t>
  </si>
  <si>
    <t>2024-10-11 13:57:26.345200</t>
  </si>
  <si>
    <t>2024-10-11 13:57:49.992256</t>
  </si>
  <si>
    <t>[0.345200, 0.360689]</t>
  </si>
  <si>
    <t>2024-10-11 14:00:54.750468</t>
  </si>
  <si>
    <t>2024-10-11 14:00:33.992208</t>
  </si>
  <si>
    <t>[0.766116, 0.782084</t>
  </si>
  <si>
    <t>2024-10-11 23:08:57.219352</t>
  </si>
  <si>
    <t>2024-10-11 23:08:35.992396</t>
  </si>
  <si>
    <t>[0.235139, 0.250884]</t>
  </si>
  <si>
    <t>2024-10-11 23:11:23.469189</t>
  </si>
  <si>
    <t>2024-10-11 23:11:07.991969</t>
  </si>
  <si>
    <t>[0.485171, 0.500391]</t>
  </si>
  <si>
    <t>2024-10-11 23:13:33.251048</t>
  </si>
  <si>
    <t>2024-10-11 23:13:17.992292</t>
  </si>
  <si>
    <t>[0.251048, 0.266464]</t>
  </si>
  <si>
    <t>2024-10-11 23:16:13.032091</t>
  </si>
  <si>
    <t>2024-10-11 23:16:20.992303</t>
  </si>
  <si>
    <t>[0.048207, 0.063448]</t>
  </si>
  <si>
    <t>2024-10-11 23:18:01.000478</t>
  </si>
  <si>
    <t>2024-10-11 23:18:38.992366</t>
  </si>
  <si>
    <t>[0.000478, 0.015745]</t>
  </si>
  <si>
    <t>2024-10-11 23:20:04.219745</t>
  </si>
  <si>
    <t>2024-10-11 23:20:01.992434</t>
  </si>
  <si>
    <t>[0.234749, 0.250275]</t>
  </si>
  <si>
    <t>2024-10-11 23:23:30.500433</t>
  </si>
  <si>
    <t>2024-10-11 23:23:06.992190</t>
  </si>
  <si>
    <t>[0.500433, 0.516053]</t>
  </si>
  <si>
    <t>2024-10-11 23:25:14.563984</t>
  </si>
  <si>
    <t>2024-10-11 23:25:38.992660</t>
  </si>
  <si>
    <t>[0.579298, 0.593919]</t>
  </si>
  <si>
    <t>2024-10-13 01:14:09.250933</t>
  </si>
  <si>
    <t>2024-10-13 01:13:52.992066</t>
  </si>
  <si>
    <t>[0.266373, 0.281971]</t>
  </si>
  <si>
    <t>2024-10-13 01:17:24.813592</t>
  </si>
  <si>
    <t>2024-10-13 01:16:59.992456</t>
  </si>
  <si>
    <t>[0.828340, 0.844480]</t>
  </si>
  <si>
    <t>2024-10-13 01:19:47.219028</t>
  </si>
  <si>
    <t>2024-10-13 01:20:13.992215</t>
  </si>
  <si>
    <t>[0.234816, 0.250437]</t>
  </si>
  <si>
    <t>2024-10-13 01:23:30.500438</t>
  </si>
  <si>
    <t>2024-10-13 01:23:07.991935</t>
  </si>
  <si>
    <t>[0.500438, 0.516568]</t>
  </si>
  <si>
    <t>2024-10-13 01:25:42.032303</t>
  </si>
  <si>
    <t>2024-10-13 01:25:25.992494</t>
  </si>
  <si>
    <t>[0.047944, 0.063195]</t>
  </si>
  <si>
    <t>2024-10-13 01:28:11.001550</t>
  </si>
  <si>
    <t>2024-10-13 01:28:08.992770</t>
  </si>
  <si>
    <t>[0.017421, 0.032416]</t>
  </si>
  <si>
    <t>2024-10-13 01:30:07.657083</t>
  </si>
  <si>
    <t>2024-10-13 01:30:48.992397</t>
  </si>
  <si>
    <t>[0.657083, 0.672289]</t>
  </si>
  <si>
    <t>2024-10-13 01:32:33.094495</t>
  </si>
  <si>
    <t>2024-10-13 01:32:41.992313</t>
  </si>
  <si>
    <t>[0.110580, 0.125159]</t>
  </si>
  <si>
    <t>2024-10-13 14:24:49.720010</t>
  </si>
  <si>
    <t>2024-10-13 14:24:32.992504</t>
  </si>
  <si>
    <t>[0.720010, 0.735001]</t>
  </si>
  <si>
    <t>2024-10-13 14:26:28.470650</t>
  </si>
  <si>
    <t>2024-10-13 14:26:11.993031</t>
  </si>
  <si>
    <t>[0.484841, 0.500746]</t>
  </si>
  <si>
    <t>2024-10-13 14:28:37.969681</t>
  </si>
  <si>
    <t>2024-10-13 14:28:35.992238</t>
  </si>
  <si>
    <t>[0.969681, 0.985205]</t>
  </si>
  <si>
    <t>2024-10-13 14:30:35.000819</t>
  </si>
  <si>
    <t>2024-10-13 14:31:17.992477</t>
  </si>
  <si>
    <t>[0.017051, 0.031812]</t>
  </si>
  <si>
    <t>2024-10-13 14:32:23.656814</t>
  </si>
  <si>
    <t>2024-10-13 14:32:32.992168</t>
  </si>
  <si>
    <t>[0.672737, 0.688254]</t>
  </si>
  <si>
    <t>2024-10-13 14:34:20.094706</t>
  </si>
  <si>
    <t>2024-10-13 14:34:47.992086</t>
  </si>
  <si>
    <t>[0.094706, 0.110533]</t>
  </si>
  <si>
    <t>2024-10-13 14:35:59.188630</t>
  </si>
  <si>
    <t>2024-10-13 14:35:35.991954</t>
  </si>
  <si>
    <t>[0.188630, 0.204723]</t>
  </si>
  <si>
    <t>2024-10-13 14:40:24.783021</t>
  </si>
  <si>
    <t>2024-10-13 14:39:58.992629</t>
  </si>
  <si>
    <t>[0.783021, 0.797763]</t>
  </si>
  <si>
    <t>2024-10-13 21:41:53.063676</t>
  </si>
  <si>
    <t>2024-10-13 21:42:36.992198</t>
  </si>
  <si>
    <t>2024-10-13 21:44:02.438725</t>
  </si>
  <si>
    <t>2024-10-13 21:44:11.990076</t>
  </si>
  <si>
    <t>[0.438725, 0.458573]</t>
  </si>
  <si>
    <t>2024-10-13 21:46:54.907222</t>
  </si>
  <si>
    <t>2024-10-13 21:46:37.991596</t>
  </si>
  <si>
    <t>[0.907222, 0.924031]</t>
  </si>
  <si>
    <t>2024-10-13 21:52:07.126784</t>
  </si>
  <si>
    <t>2024-10-13 21:51:40.992994</t>
  </si>
  <si>
    <t>[0.126784, 0.140795]</t>
  </si>
  <si>
    <t>2024-10-13 21:55:35.689477</t>
  </si>
  <si>
    <t>2024-10-13 21:55:18.992886</t>
  </si>
  <si>
    <t>[0.704087, 0.719684]</t>
  </si>
  <si>
    <t>2024-10-13 21:57:36.500914</t>
  </si>
  <si>
    <t>2024-10-13 21:57:12.992308</t>
  </si>
  <si>
    <t>[0.500914, 0.516299]</t>
  </si>
  <si>
    <t>[0.063676, 0.079280]</t>
  </si>
  <si>
    <t>2024-10-13 22:00:34.876065</t>
  </si>
  <si>
    <t>2024-10-13 22:00:32.992433</t>
  </si>
  <si>
    <t>[0.891024, 0.906708]</t>
  </si>
  <si>
    <t>2024-10-13 22:03:30.407805</t>
  </si>
  <si>
    <t>2024-10-13 22:03:58.992650</t>
  </si>
  <si>
    <t>[0.407805, 0.422504]</t>
  </si>
  <si>
    <t>Overall average:</t>
  </si>
  <si>
    <t>2024-10-14 15:31:05.250497</t>
  </si>
  <si>
    <t>2024-10-14 15:30:47.992242</t>
  </si>
  <si>
    <t>[0.266646, 0.281859]</t>
  </si>
  <si>
    <t>[0.047778, 0.062974]</t>
  </si>
  <si>
    <t>2024-10-14 15:34:35.032429</t>
  </si>
  <si>
    <t>2024-10-14 15:34:07.992420</t>
  </si>
  <si>
    <t>2024-10-14 15:37:16.563345</t>
  </si>
  <si>
    <t>2024-10-14 15:37:14.992276</t>
  </si>
  <si>
    <t>[0.563345, 0.578794]</t>
  </si>
  <si>
    <t>2024-10-14 15:39:34.594824</t>
  </si>
  <si>
    <t>2024-10-14 15:39:44.992488</t>
  </si>
  <si>
    <t>[0.594824, 0.609847]</t>
  </si>
  <si>
    <t>2024-10-14 15:41:42.657783</t>
  </si>
  <si>
    <t>2024-10-14 15:42:12.992598</t>
  </si>
  <si>
    <t>[0.657783, 0.672588]</t>
  </si>
  <si>
    <t>2024-10-14 15:44:20.531747</t>
  </si>
  <si>
    <t>2024-10-14 15:45:06.992180</t>
  </si>
  <si>
    <t>[0.531747, 0.547386]</t>
  </si>
  <si>
    <t>2024-10-14 15:46:21.157050</t>
  </si>
  <si>
    <t>2024-10-14 15:45:56.991906</t>
  </si>
  <si>
    <t>[0.172896, 0.187832]</t>
  </si>
  <si>
    <t>2024-10-14 15:48:15.064304</t>
  </si>
  <si>
    <t>2024-10-14 15:47:57.992630</t>
  </si>
  <si>
    <t>[0.079589, 0.094816]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</si>
</sst>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4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left"/>
    </xf>
    <xf numFmtId="49" fontId="0" fillId="4" borderId="0" xfId="0" applyNumberFormat="1" applyFill="1"/>
    <xf numFmtId="49" fontId="0" fillId="5" borderId="0" xfId="0" applyNumberFormat="1" applyFill="1"/>
    <xf numFmtId="0" fontId="0" fillId="5" borderId="0" xfId="0" applyFill="1"/>
    <xf numFmtId="0" fontId="0" fillId="6" borderId="0" xfId="0" applyFill="1"/>
    <xf numFmtId="49" fontId="0" fillId="6" borderId="0" xfId="0" applyNumberFormat="1" applyFill="1"/>
    <xf numFmtId="0" fontId="0" fillId="6" borderId="0" xfId="0" applyFill="1" applyAlignment="1">
      <alignment horizontal="lef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7" borderId="0" xfId="0" applyFill="1" applyAlignment="1">
      <alignment horizontal="left"/>
    </xf>
    <xf numFmtId="49" fontId="0" fillId="7" borderId="0" xfId="0" applyNumberFormat="1" applyFill="1"/>
    <xf numFmtId="0" fontId="0" fillId="8" borderId="0" xfId="0" applyFill="1" applyAlignment="1">
      <alignment horizontal="left"/>
    </xf>
    <xf numFmtId="49" fontId="0" fillId="8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49" fontId="0" fillId="5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7" borderId="0" xfId="0" applyFill="1"/>
    <xf numFmtId="0" fontId="0" fillId="9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1263779527559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to time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948068679663127"/>
                  <c:y val="-0.28080410059970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Uncalibrated!$M$3:$M$25</c:f>
              <c:numCache>
                <c:formatCode>@</c:formatCode>
                <c:ptCount val="23"/>
                <c:pt idx="0" formatCode="General">
                  <c:v>0</c:v>
                </c:pt>
                <c:pt idx="1">
                  <c:v>104.62448163333333</c:v>
                </c:pt>
                <c:pt idx="2">
                  <c:v>181.48959604999996</c:v>
                </c:pt>
                <c:pt idx="3">
                  <c:v>242.89119909999997</c:v>
                </c:pt>
                <c:pt idx="4">
                  <c:v>524.5578207166667</c:v>
                </c:pt>
                <c:pt idx="5">
                  <c:v>1142.5812605833335</c:v>
                </c:pt>
                <c:pt idx="6">
                  <c:v>1251.1885548833334</c:v>
                </c:pt>
                <c:pt idx="7">
                  <c:v>1313.2739665333334</c:v>
                </c:pt>
                <c:pt idx="8">
                  <c:v>1528.25626005</c:v>
                </c:pt>
                <c:pt idx="9">
                  <c:v>2733.2849083000001</c:v>
                </c:pt>
                <c:pt idx="10">
                  <c:v>2857.6713579500001</c:v>
                </c:pt>
                <c:pt idx="11">
                  <c:v>3470.9573107333335</c:v>
                </c:pt>
                <c:pt idx="12">
                  <c:v>4115.6536581666669</c:v>
                </c:pt>
                <c:pt idx="13">
                  <c:v>4725.5234434833337</c:v>
                </c:pt>
                <c:pt idx="14">
                  <c:v>5506.953129616667</c:v>
                </c:pt>
                <c:pt idx="15">
                  <c:v>8650.2323481333333</c:v>
                </c:pt>
                <c:pt idx="16">
                  <c:v>10090.343752766667</c:v>
                </c:pt>
              </c:numCache>
            </c:numRef>
          </c:xVal>
          <c:yVal>
            <c:numRef>
              <c:f>Uncalibrated!$G$3:$G$25</c:f>
              <c:numCache>
                <c:formatCode>@</c:formatCode>
                <c:ptCount val="23"/>
                <c:pt idx="0">
                  <c:v>863.7727690000039</c:v>
                </c:pt>
                <c:pt idx="1">
                  <c:v>865.30414799999778</c:v>
                </c:pt>
                <c:pt idx="2">
                  <c:v>866.39746300000434</c:v>
                </c:pt>
                <c:pt idx="3">
                  <c:v>867.3023490000013</c:v>
                </c:pt>
                <c:pt idx="4">
                  <c:v>871.30411900000001</c:v>
                </c:pt>
                <c:pt idx="5" formatCode="General">
                  <c:v>877.89773299999956</c:v>
                </c:pt>
                <c:pt idx="6" formatCode="General">
                  <c:v>879.45980100000304</c:v>
                </c:pt>
                <c:pt idx="7" formatCode="General">
                  <c:v>880.33491100000015</c:v>
                </c:pt>
                <c:pt idx="8" formatCode="General">
                  <c:v>883.39780100000053</c:v>
                </c:pt>
                <c:pt idx="9" formatCode="General">
                  <c:v>900.67880200000639</c:v>
                </c:pt>
                <c:pt idx="10" formatCode="General">
                  <c:v>902.49184600000035</c:v>
                </c:pt>
                <c:pt idx="11" formatCode="General">
                  <c:v>911.33503600000051</c:v>
                </c:pt>
                <c:pt idx="12" formatCode="General">
                  <c:v>920.55377400000316</c:v>
                </c:pt>
                <c:pt idx="13" formatCode="General">
                  <c:v>929.36653699999499</c:v>
                </c:pt>
                <c:pt idx="14" formatCode="General">
                  <c:v>940.5851879999999</c:v>
                </c:pt>
                <c:pt idx="15" formatCode="General">
                  <c:v>985.83354999999722</c:v>
                </c:pt>
                <c:pt idx="16" formatCode="General">
                  <c:v>1005.1479679999941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190-4348-9A38-B3A225CBA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899071"/>
        <c:axId val="1415894751"/>
      </c:scatterChart>
      <c:valAx>
        <c:axId val="141589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894751"/>
        <c:crosses val="autoZero"/>
        <c:crossBetween val="midCat"/>
      </c:valAx>
      <c:valAx>
        <c:axId val="141589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89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443350831146108"/>
                  <c:y val="-0.238637357830271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Uncalibrated!$M$27:$M$49</c:f>
              <c:numCache>
                <c:formatCode>@</c:formatCode>
                <c:ptCount val="23"/>
                <c:pt idx="0" formatCode="General">
                  <c:v>0</c:v>
                </c:pt>
                <c:pt idx="1">
                  <c:v>77.997398266666721</c:v>
                </c:pt>
                <c:pt idx="2">
                  <c:v>154.96198173333337</c:v>
                </c:pt>
                <c:pt idx="3">
                  <c:v>216.2635558166667</c:v>
                </c:pt>
                <c:pt idx="4">
                  <c:v>498.77812689999996</c:v>
                </c:pt>
                <c:pt idx="5">
                  <c:v>1116.3650999166666</c:v>
                </c:pt>
                <c:pt idx="6">
                  <c:v>1220.4395884666667</c:v>
                </c:pt>
                <c:pt idx="7">
                  <c:v>1282.3578105666666</c:v>
                </c:pt>
                <c:pt idx="8">
                  <c:v>1497.7552174833334</c:v>
                </c:pt>
                <c:pt idx="9">
                  <c:v>2702.0114649500001</c:v>
                </c:pt>
                <c:pt idx="10">
                  <c:v>2826.0307353666667</c:v>
                </c:pt>
                <c:pt idx="11">
                  <c:v>3444.0791586666669</c:v>
                </c:pt>
                <c:pt idx="12">
                  <c:v>4089.8052021333333</c:v>
                </c:pt>
                <c:pt idx="13">
                  <c:v>4701.5885738333336</c:v>
                </c:pt>
                <c:pt idx="14">
                  <c:v>5476.4494735500002</c:v>
                </c:pt>
                <c:pt idx="15">
                  <c:v>8624.7942698999996</c:v>
                </c:pt>
                <c:pt idx="16">
                  <c:v>10063.982300866666</c:v>
                </c:pt>
                <c:pt idx="17">
                  <c:v>13273.6473893</c:v>
                </c:pt>
                <c:pt idx="18">
                  <c:v>13446.755205566667</c:v>
                </c:pt>
              </c:numCache>
            </c:numRef>
          </c:xVal>
          <c:yVal>
            <c:numRef>
              <c:f>Uncalibrated!$G$27:$G$49</c:f>
              <c:numCache>
                <c:formatCode>@</c:formatCode>
                <c:ptCount val="23"/>
                <c:pt idx="0">
                  <c:v>2048.1470069999973</c:v>
                </c:pt>
                <c:pt idx="1">
                  <c:v>2049.3039569999942</c:v>
                </c:pt>
                <c:pt idx="2">
                  <c:v>2050.4288650000008</c:v>
                </c:pt>
                <c:pt idx="3">
                  <c:v>2051.3347589999976</c:v>
                </c:pt>
                <c:pt idx="4">
                  <c:v>2055.4599560000001</c:v>
                </c:pt>
                <c:pt idx="5">
                  <c:v>2062.2418290000028</c:v>
                </c:pt>
                <c:pt idx="6">
                  <c:v>2063.7725169999994</c:v>
                </c:pt>
                <c:pt idx="7">
                  <c:v>2064.6790190000061</c:v>
                </c:pt>
                <c:pt idx="8">
                  <c:v>2067.834990999997</c:v>
                </c:pt>
                <c:pt idx="9">
                  <c:v>2085.4599079999998</c:v>
                </c:pt>
                <c:pt idx="10">
                  <c:v>2087.3038590000033</c:v>
                </c:pt>
                <c:pt idx="11">
                  <c:v>2096.3981010000002</c:v>
                </c:pt>
                <c:pt idx="12">
                  <c:v>2105.8356150000059</c:v>
                </c:pt>
                <c:pt idx="13">
                  <c:v>2114.8344529999977</c:v>
                </c:pt>
                <c:pt idx="14">
                  <c:v>2126.1789880000001</c:v>
                </c:pt>
                <c:pt idx="15">
                  <c:v>2172.4915399999941</c:v>
                </c:pt>
                <c:pt idx="16">
                  <c:v>2192.2097250000006</c:v>
                </c:pt>
                <c:pt idx="17">
                  <c:v>2239.3041360000016</c:v>
                </c:pt>
                <c:pt idx="18">
                  <c:v>2241.8352730000001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48-471E-ADAB-AAE44B9FE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435647"/>
        <c:axId val="767436127"/>
      </c:scatterChart>
      <c:valAx>
        <c:axId val="767435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436127"/>
        <c:crosses val="autoZero"/>
        <c:crossBetween val="midCat"/>
      </c:valAx>
      <c:valAx>
        <c:axId val="76743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435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drfit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667362682893038"/>
                  <c:y val="-0.200001988677062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Uncalibrated!$M$51:$M$73</c:f>
              <c:numCache>
                <c:formatCode>@</c:formatCode>
                <c:ptCount val="23"/>
                <c:pt idx="0" formatCode="General">
                  <c:v>0</c:v>
                </c:pt>
                <c:pt idx="1">
                  <c:v>83.313542933333352</c:v>
                </c:pt>
                <c:pt idx="2">
                  <c:v>159.57709756666674</c:v>
                </c:pt>
                <c:pt idx="3">
                  <c:v>220.96199099999995</c:v>
                </c:pt>
                <c:pt idx="4">
                  <c:v>503.95989774999993</c:v>
                </c:pt>
                <c:pt idx="5">
                  <c:v>1122.3302392999999</c:v>
                </c:pt>
                <c:pt idx="6">
                  <c:v>1220.2562467333332</c:v>
                </c:pt>
                <c:pt idx="7">
                  <c:v>1283.4239766833332</c:v>
                </c:pt>
                <c:pt idx="8">
                  <c:v>1498.9213573333332</c:v>
                </c:pt>
                <c:pt idx="9">
                  <c:v>2702.6114603999999</c:v>
                </c:pt>
                <c:pt idx="10">
                  <c:v>2825.7973940666666</c:v>
                </c:pt>
                <c:pt idx="11">
                  <c:v>3443.1296923333334</c:v>
                </c:pt>
                <c:pt idx="12">
                  <c:v>4095.9375138333335</c:v>
                </c:pt>
                <c:pt idx="13">
                  <c:v>4708.6369836000003</c:v>
                </c:pt>
                <c:pt idx="14">
                  <c:v>5477.5828173833333</c:v>
                </c:pt>
                <c:pt idx="15">
                  <c:v>8649.2234401333335</c:v>
                </c:pt>
                <c:pt idx="16">
                  <c:v>10069.666163033333</c:v>
                </c:pt>
                <c:pt idx="17">
                  <c:v>13278.798443016665</c:v>
                </c:pt>
                <c:pt idx="18">
                  <c:v>13456.871360949999</c:v>
                </c:pt>
              </c:numCache>
            </c:numRef>
          </c:xVal>
          <c:yVal>
            <c:numRef>
              <c:f>Uncalibrated!$G$51:$G$73</c:f>
              <c:numCache>
                <c:formatCode>@</c:formatCode>
                <c:ptCount val="23"/>
                <c:pt idx="0">
                  <c:v>2990.1475080000005</c:v>
                </c:pt>
                <c:pt idx="1">
                  <c:v>2992.3355460000039</c:v>
                </c:pt>
                <c:pt idx="2">
                  <c:v>2992.5224759999946</c:v>
                </c:pt>
                <c:pt idx="3">
                  <c:v>2993.4288620000011</c:v>
                </c:pt>
                <c:pt idx="4">
                  <c:v>2997.5460029999995</c:v>
                </c:pt>
                <c:pt idx="5">
                  <c:v>3004.3344400000015</c:v>
                </c:pt>
                <c:pt idx="6">
                  <c:v>3005.7730900000029</c:v>
                </c:pt>
                <c:pt idx="7">
                  <c:v>3006.7099309999999</c:v>
                </c:pt>
                <c:pt idx="8">
                  <c:v>3009.8665140000003</c:v>
                </c:pt>
                <c:pt idx="9">
                  <c:v>3027.460432000003</c:v>
                </c:pt>
                <c:pt idx="10">
                  <c:v>3029.3043530000068</c:v>
                </c:pt>
                <c:pt idx="11">
                  <c:v>3038.3665019999994</c:v>
                </c:pt>
                <c:pt idx="12">
                  <c:v>3047.89761</c:v>
                </c:pt>
                <c:pt idx="13">
                  <c:v>3056.9288190000016</c:v>
                </c:pt>
                <c:pt idx="14">
                  <c:v>3068.1790430000033</c:v>
                </c:pt>
                <c:pt idx="15">
                  <c:v>3114.7415939999978</c:v>
                </c:pt>
                <c:pt idx="16">
                  <c:v>3134.178699999994</c:v>
                </c:pt>
                <c:pt idx="17">
                  <c:v>3181.2415940000051</c:v>
                </c:pt>
                <c:pt idx="18">
                  <c:v>3183.8663369999999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11-47DA-9158-E3EA860A9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437055"/>
        <c:axId val="746443775"/>
      </c:scatterChart>
      <c:valAx>
        <c:axId val="74643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43775"/>
        <c:crosses val="autoZero"/>
        <c:crossBetween val="midCat"/>
      </c:valAx>
      <c:valAx>
        <c:axId val="74644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37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2546019247594056"/>
                  <c:y val="-0.1717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Uncalibrated!$M$75:$M$97</c:f>
              <c:numCache>
                <c:formatCode>@</c:formatCode>
                <c:ptCount val="23"/>
                <c:pt idx="0" formatCode="General">
                  <c:v>0</c:v>
                </c:pt>
                <c:pt idx="1">
                  <c:v>96.342179883333358</c:v>
                </c:pt>
                <c:pt idx="2">
                  <c:v>164.75782366666664</c:v>
                </c:pt>
                <c:pt idx="3">
                  <c:v>225.75884895000007</c:v>
                </c:pt>
                <c:pt idx="4">
                  <c:v>508.75364188333339</c:v>
                </c:pt>
                <c:pt idx="5">
                  <c:v>1127.3333443166666</c:v>
                </c:pt>
                <c:pt idx="6">
                  <c:v>1220.8932508666667</c:v>
                </c:pt>
                <c:pt idx="7">
                  <c:v>1282.5942732333333</c:v>
                </c:pt>
                <c:pt idx="8">
                  <c:v>1499.9890671666667</c:v>
                </c:pt>
                <c:pt idx="9">
                  <c:v>2703.0994769666668</c:v>
                </c:pt>
                <c:pt idx="10">
                  <c:v>2824.3182224833336</c:v>
                </c:pt>
                <c:pt idx="11">
                  <c:v>3443.0265677500001</c:v>
                </c:pt>
                <c:pt idx="12">
                  <c:v>4101.0927109833337</c:v>
                </c:pt>
                <c:pt idx="13">
                  <c:v>4713.8520715833338</c:v>
                </c:pt>
                <c:pt idx="14">
                  <c:v>5478.2573003166672</c:v>
                </c:pt>
                <c:pt idx="15">
                  <c:v>8641.2156197166678</c:v>
                </c:pt>
                <c:pt idx="16">
                  <c:v>10075.956245533334</c:v>
                </c:pt>
                <c:pt idx="17">
                  <c:v>13286.353640700001</c:v>
                </c:pt>
                <c:pt idx="18">
                  <c:v>13457.77655835</c:v>
                </c:pt>
              </c:numCache>
            </c:numRef>
          </c:xVal>
          <c:yVal>
            <c:numRef>
              <c:f>Uncalibrated!$G$75:$G$97</c:f>
              <c:numCache>
                <c:formatCode>@</c:formatCode>
                <c:ptCount val="23"/>
                <c:pt idx="0">
                  <c:v>3732.1165269999983</c:v>
                </c:pt>
                <c:pt idx="1">
                  <c:v>3733.585482000005</c:v>
                </c:pt>
                <c:pt idx="2">
                  <c:v>3734.6468560000017</c:v>
                </c:pt>
                <c:pt idx="3">
                  <c:v>3735.5853919999986</c:v>
                </c:pt>
                <c:pt idx="4">
                  <c:v>3739.8975840000003</c:v>
                </c:pt>
                <c:pt idx="5">
                  <c:v>3747.1160690000006</c:v>
                </c:pt>
                <c:pt idx="6">
                  <c:v>3748.5221280000073</c:v>
                </c:pt>
                <c:pt idx="7">
                  <c:v>3749.4601740000039</c:v>
                </c:pt>
                <c:pt idx="8">
                  <c:v>3752.7726689999949</c:v>
                </c:pt>
                <c:pt idx="9">
                  <c:v>3771.1478230000043</c:v>
                </c:pt>
                <c:pt idx="10">
                  <c:v>3773.0228789999983</c:v>
                </c:pt>
                <c:pt idx="11">
                  <c:v>3782.5226680000005</c:v>
                </c:pt>
                <c:pt idx="12">
                  <c:v>3792.5540780000078</c:v>
                </c:pt>
                <c:pt idx="13">
                  <c:v>3801.9919900000091</c:v>
                </c:pt>
                <c:pt idx="14">
                  <c:v>3813.6788290000013</c:v>
                </c:pt>
                <c:pt idx="15">
                  <c:v>3862.1792880000057</c:v>
                </c:pt>
                <c:pt idx="16">
                  <c:v>3882.7415649999925</c:v>
                </c:pt>
                <c:pt idx="17">
                  <c:v>3931.8978830000069</c:v>
                </c:pt>
                <c:pt idx="18">
                  <c:v>3934.5225840000003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25-4367-A294-1EE2CA8AB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451935"/>
        <c:axId val="746461055"/>
      </c:scatterChart>
      <c:valAx>
        <c:axId val="74645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61055"/>
        <c:crosses val="autoZero"/>
        <c:crossBetween val="midCat"/>
      </c:valAx>
      <c:valAx>
        <c:axId val="7464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5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079531969058582"/>
                  <c:y val="-0.200427381066878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Uncalibrated!$M$99:$M$121</c:f>
              <c:numCache>
                <c:formatCode>@</c:formatCode>
                <c:ptCount val="23"/>
                <c:pt idx="0" formatCode="General">
                  <c:v>0</c:v>
                </c:pt>
                <c:pt idx="1">
                  <c:v>100.98855598333334</c:v>
                </c:pt>
                <c:pt idx="2">
                  <c:v>170.56928806666673</c:v>
                </c:pt>
                <c:pt idx="3">
                  <c:v>234.30156851666669</c:v>
                </c:pt>
                <c:pt idx="4">
                  <c:v>515.95678256666667</c:v>
                </c:pt>
                <c:pt idx="5">
                  <c:v>1131.9567879333333</c:v>
                </c:pt>
                <c:pt idx="6">
                  <c:v>1220.1323139833332</c:v>
                </c:pt>
                <c:pt idx="7">
                  <c:v>1273.5510602999998</c:v>
                </c:pt>
                <c:pt idx="8">
                  <c:v>1500.7718875166665</c:v>
                </c:pt>
                <c:pt idx="9">
                  <c:v>2702.8713600333331</c:v>
                </c:pt>
                <c:pt idx="10">
                  <c:v>2823.5374986499996</c:v>
                </c:pt>
                <c:pt idx="11">
                  <c:v>3443.5317796166664</c:v>
                </c:pt>
                <c:pt idx="12">
                  <c:v>4106.6479267666664</c:v>
                </c:pt>
                <c:pt idx="13">
                  <c:v>4722.1593955166663</c:v>
                </c:pt>
                <c:pt idx="14">
                  <c:v>5478.3494921666661</c:v>
                </c:pt>
                <c:pt idx="15">
                  <c:v>8637.7859557499996</c:v>
                </c:pt>
                <c:pt idx="16">
                  <c:v>10081.457828666666</c:v>
                </c:pt>
                <c:pt idx="17">
                  <c:v>13293.864072549999</c:v>
                </c:pt>
                <c:pt idx="18">
                  <c:v>13464.700021633333</c:v>
                </c:pt>
              </c:numCache>
            </c:numRef>
          </c:xVal>
          <c:yVal>
            <c:numRef>
              <c:f>Uncalibrated!$G$99:$G$121</c:f>
              <c:numCache>
                <c:formatCode>@</c:formatCode>
                <c:ptCount val="23"/>
                <c:pt idx="0">
                  <c:v>3876.8980290000013</c:v>
                </c:pt>
                <c:pt idx="1">
                  <c:v>3878.5851040000048</c:v>
                </c:pt>
                <c:pt idx="2">
                  <c:v>3879.7411490000018</c:v>
                </c:pt>
                <c:pt idx="3">
                  <c:v>3880.8039839999992</c:v>
                </c:pt>
                <c:pt idx="4">
                  <c:v>3885.4914129999997</c:v>
                </c:pt>
                <c:pt idx="5">
                  <c:v>3893.4914730000028</c:v>
                </c:pt>
                <c:pt idx="6">
                  <c:v>3894.9599330000046</c:v>
                </c:pt>
                <c:pt idx="7">
                  <c:v>3895.8349480000015</c:v>
                </c:pt>
                <c:pt idx="8">
                  <c:v>3899.5843799999984</c:v>
                </c:pt>
                <c:pt idx="9">
                  <c:v>3919.6165969999956</c:v>
                </c:pt>
                <c:pt idx="10">
                  <c:v>3921.6480819999992</c:v>
                </c:pt>
                <c:pt idx="11">
                  <c:v>3931.991532</c:v>
                </c:pt>
                <c:pt idx="12">
                  <c:v>3943.022676999999</c:v>
                </c:pt>
                <c:pt idx="13">
                  <c:v>3953.3349799999978</c:v>
                </c:pt>
                <c:pt idx="14">
                  <c:v>3965.9290010000041</c:v>
                </c:pt>
                <c:pt idx="15">
                  <c:v>4018.7412160000013</c:v>
                </c:pt>
                <c:pt idx="16">
                  <c:v>4041.4288289999986</c:v>
                </c:pt>
                <c:pt idx="17">
                  <c:v>4095.0540819999974</c:v>
                </c:pt>
                <c:pt idx="18">
                  <c:v>4097.8971730000003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5B-494E-B48E-25DD227C9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460095"/>
        <c:axId val="746455295"/>
      </c:scatterChart>
      <c:valAx>
        <c:axId val="74646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55295"/>
        <c:crosses val="autoZero"/>
        <c:crossBetween val="midCat"/>
      </c:valAx>
      <c:valAx>
        <c:axId val="74645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6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997856517935261"/>
                  <c:y val="-0.179914333624963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Uncalibrated!$M$123:$M$145</c:f>
              <c:numCache>
                <c:formatCode>@</c:formatCode>
                <c:ptCount val="23"/>
                <c:pt idx="0" formatCode="General">
                  <c:v>0</c:v>
                </c:pt>
                <c:pt idx="1">
                  <c:v>104.73593795000012</c:v>
                </c:pt>
                <c:pt idx="2">
                  <c:v>175.61562075000006</c:v>
                </c:pt>
                <c:pt idx="3">
                  <c:v>239.01354158333345</c:v>
                </c:pt>
                <c:pt idx="4">
                  <c:v>522.31511500000011</c:v>
                </c:pt>
                <c:pt idx="5">
                  <c:v>1136.4093722500002</c:v>
                </c:pt>
                <c:pt idx="6">
                  <c:v>1217.8192600000002</c:v>
                </c:pt>
                <c:pt idx="7">
                  <c:v>1273.2031627666668</c:v>
                </c:pt>
                <c:pt idx="8">
                  <c:v>1501.2708341333337</c:v>
                </c:pt>
                <c:pt idx="9">
                  <c:v>2702.5083403500003</c:v>
                </c:pt>
                <c:pt idx="10">
                  <c:v>2821.6234388000003</c:v>
                </c:pt>
                <c:pt idx="11">
                  <c:v>3442.8270886</c:v>
                </c:pt>
                <c:pt idx="12">
                  <c:v>4119.0822911499999</c:v>
                </c:pt>
                <c:pt idx="13">
                  <c:v>4726.5395898999996</c:v>
                </c:pt>
                <c:pt idx="14">
                  <c:v>5478.5057268</c:v>
                </c:pt>
                <c:pt idx="15">
                  <c:v>8653.7546836166657</c:v>
                </c:pt>
                <c:pt idx="16">
                  <c:v>10087.897396833332</c:v>
                </c:pt>
                <c:pt idx="17">
                  <c:v>13298.736988549997</c:v>
                </c:pt>
                <c:pt idx="18">
                  <c:v>13468.788034333331</c:v>
                </c:pt>
              </c:numCache>
            </c:numRef>
          </c:xVal>
          <c:yVal>
            <c:numRef>
              <c:f>Uncalibrated!$G$123:$G$145</c:f>
              <c:numCache>
                <c:formatCode>@</c:formatCode>
                <c:ptCount val="23"/>
                <c:pt idx="0">
                  <c:v>1238.8975140000048</c:v>
                </c:pt>
                <c:pt idx="1">
                  <c:v>1240.7417109999988</c:v>
                </c:pt>
                <c:pt idx="2">
                  <c:v>1241.9604779999956</c:v>
                </c:pt>
                <c:pt idx="3">
                  <c:v>1243.0854119999992</c:v>
                </c:pt>
                <c:pt idx="4">
                  <c:v>1247.9911000000002</c:v>
                </c:pt>
                <c:pt idx="5">
                  <c:v>1256.3351790000029</c:v>
                </c:pt>
                <c:pt idx="6">
                  <c:v>1257.741866999995</c:v>
                </c:pt>
                <c:pt idx="7">
                  <c:v>1258.7091980000016</c:v>
                </c:pt>
                <c:pt idx="8">
                  <c:v>1262.647357999999</c:v>
                </c:pt>
                <c:pt idx="9">
                  <c:v>1283.3975400000022</c:v>
                </c:pt>
                <c:pt idx="10">
                  <c:v>1285.4914829999962</c:v>
                </c:pt>
                <c:pt idx="11">
                  <c:v>1296.272649</c:v>
                </c:pt>
                <c:pt idx="12">
                  <c:v>1307.9604200000063</c:v>
                </c:pt>
                <c:pt idx="13">
                  <c:v>1318.5226910000013</c:v>
                </c:pt>
                <c:pt idx="14">
                  <c:v>1331.5539580000002</c:v>
                </c:pt>
                <c:pt idx="15">
                  <c:v>1386.6165789999961</c:v>
                </c:pt>
                <c:pt idx="16">
                  <c:v>1410.0541059999998</c:v>
                </c:pt>
                <c:pt idx="17">
                  <c:v>1465.6783829999956</c:v>
                </c:pt>
                <c:pt idx="18">
                  <c:v>1468.6159220000002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72-49F2-949B-A2EB17139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447615"/>
        <c:axId val="746444255"/>
      </c:scatterChart>
      <c:valAx>
        <c:axId val="74644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44255"/>
        <c:crosses val="autoZero"/>
        <c:crossBetween val="midCat"/>
      </c:valAx>
      <c:valAx>
        <c:axId val="74644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4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589501353997152"/>
                  <c:y val="-0.499547262855094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Uncalibrated!$M$147:$M$168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111.20416545000012</c:v>
                </c:pt>
                <c:pt idx="2">
                  <c:v>184.5515601333334</c:v>
                </c:pt>
                <c:pt idx="3">
                  <c:v>245.83542866666676</c:v>
                </c:pt>
                <c:pt idx="4">
                  <c:v>529.59428361666676</c:v>
                </c:pt>
                <c:pt idx="5">
                  <c:v>1143.3703121000001</c:v>
                </c:pt>
                <c:pt idx="6">
                  <c:v>1215.7348949666666</c:v>
                </c:pt>
                <c:pt idx="7">
                  <c:v>1274.4198119833334</c:v>
                </c:pt>
                <c:pt idx="8">
                  <c:v>1503.2432249666667</c:v>
                </c:pt>
                <c:pt idx="9">
                  <c:v>2704.1604259000001</c:v>
                </c:pt>
                <c:pt idx="10">
                  <c:v>2820.8125029833336</c:v>
                </c:pt>
                <c:pt idx="11">
                  <c:v>3443.415105016667</c:v>
                </c:pt>
                <c:pt idx="12">
                  <c:v>4127.0015756000003</c:v>
                </c:pt>
                <c:pt idx="13">
                  <c:v>4733.5078560000002</c:v>
                </c:pt>
                <c:pt idx="14">
                  <c:v>5480.4114927333339</c:v>
                </c:pt>
                <c:pt idx="15">
                  <c:v>8655.9562553666674</c:v>
                </c:pt>
                <c:pt idx="16">
                  <c:v>10093.851054633335</c:v>
                </c:pt>
                <c:pt idx="17">
                  <c:v>13305.669799166668</c:v>
                </c:pt>
                <c:pt idx="18">
                  <c:v>13463.561985716668</c:v>
                </c:pt>
              </c:numCache>
            </c:numRef>
          </c:xVal>
          <c:yVal>
            <c:numRef>
              <c:f>Uncalibrated!$G$147:$G$168</c:f>
              <c:numCache>
                <c:formatCode>@</c:formatCode>
                <c:ptCount val="22"/>
                <c:pt idx="0">
                  <c:v>-3269.195714999993</c:v>
                </c:pt>
                <c:pt idx="1">
                  <c:v>-3267.4538239999993</c:v>
                </c:pt>
                <c:pt idx="2">
                  <c:v>-3266.2897730000022</c:v>
                </c:pt>
                <c:pt idx="3">
                  <c:v>-3265.3211430000056</c:v>
                </c:pt>
                <c:pt idx="4">
                  <c:v>-3260.8526059999999</c:v>
                </c:pt>
                <c:pt idx="5">
                  <c:v>-3253.4145980000035</c:v>
                </c:pt>
                <c:pt idx="6">
                  <c:v>-3252.2893199999967</c:v>
                </c:pt>
                <c:pt idx="7">
                  <c:v>-3251.3840249999998</c:v>
                </c:pt>
                <c:pt idx="8">
                  <c:v>-3247.7893689999928</c:v>
                </c:pt>
                <c:pt idx="9">
                  <c:v>-3228.8210209999984</c:v>
                </c:pt>
                <c:pt idx="10">
                  <c:v>-3226.9458169999989</c:v>
                </c:pt>
                <c:pt idx="11">
                  <c:v>-3217.1018830000003</c:v>
                </c:pt>
                <c:pt idx="12">
                  <c:v>-3206.2899299999976</c:v>
                </c:pt>
                <c:pt idx="13">
                  <c:v>-3196.6658229999944</c:v>
                </c:pt>
                <c:pt idx="14" formatCode="General">
                  <c:v>-3184.8842870000021</c:v>
                </c:pt>
                <c:pt idx="15" formatCode="General">
                  <c:v>-3134.5710310000009</c:v>
                </c:pt>
                <c:pt idx="16">
                  <c:v>-3113.2588689999975</c:v>
                </c:pt>
                <c:pt idx="17">
                  <c:v>-3062.383886999999</c:v>
                </c:pt>
                <c:pt idx="18">
                  <c:v>-3059.9149069999999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FD-421E-9A15-B9B6AB31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418847"/>
        <c:axId val="767438527"/>
      </c:scatterChart>
      <c:valAx>
        <c:axId val="76741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438527"/>
        <c:crosses val="autoZero"/>
        <c:crossBetween val="midCat"/>
      </c:valAx>
      <c:valAx>
        <c:axId val="76743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41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drift vs Time (all)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#2 Time drift vs Time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Uncalibrated!$M$3:$M$24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104.62448163333333</c:v>
                </c:pt>
                <c:pt idx="2">
                  <c:v>181.48959604999996</c:v>
                </c:pt>
                <c:pt idx="3">
                  <c:v>242.89119909999997</c:v>
                </c:pt>
                <c:pt idx="4">
                  <c:v>524.5578207166667</c:v>
                </c:pt>
                <c:pt idx="5">
                  <c:v>1142.5812605833335</c:v>
                </c:pt>
                <c:pt idx="6">
                  <c:v>1251.1885548833334</c:v>
                </c:pt>
                <c:pt idx="7">
                  <c:v>1313.2739665333334</c:v>
                </c:pt>
                <c:pt idx="8">
                  <c:v>1528.25626005</c:v>
                </c:pt>
                <c:pt idx="9">
                  <c:v>2733.2849083000001</c:v>
                </c:pt>
                <c:pt idx="10">
                  <c:v>2857.6713579500001</c:v>
                </c:pt>
                <c:pt idx="11">
                  <c:v>3470.9573107333335</c:v>
                </c:pt>
                <c:pt idx="12">
                  <c:v>4115.6536581666669</c:v>
                </c:pt>
                <c:pt idx="13">
                  <c:v>4725.5234434833337</c:v>
                </c:pt>
                <c:pt idx="14">
                  <c:v>5506.953129616667</c:v>
                </c:pt>
                <c:pt idx="15">
                  <c:v>8650.2323481333333</c:v>
                </c:pt>
                <c:pt idx="16">
                  <c:v>10090.343752766667</c:v>
                </c:pt>
              </c:numCache>
            </c:numRef>
          </c:xVal>
          <c:yVal>
            <c:numRef>
              <c:f>Uncalibrated!$G$3:$G$24</c:f>
              <c:numCache>
                <c:formatCode>@</c:formatCode>
                <c:ptCount val="22"/>
                <c:pt idx="0">
                  <c:v>863.7727690000039</c:v>
                </c:pt>
                <c:pt idx="1">
                  <c:v>865.30414799999778</c:v>
                </c:pt>
                <c:pt idx="2">
                  <c:v>866.39746300000434</c:v>
                </c:pt>
                <c:pt idx="3">
                  <c:v>867.3023490000013</c:v>
                </c:pt>
                <c:pt idx="4">
                  <c:v>871.30411900000001</c:v>
                </c:pt>
                <c:pt idx="5" formatCode="General">
                  <c:v>877.89773299999956</c:v>
                </c:pt>
                <c:pt idx="6" formatCode="General">
                  <c:v>879.45980100000304</c:v>
                </c:pt>
                <c:pt idx="7" formatCode="General">
                  <c:v>880.33491100000015</c:v>
                </c:pt>
                <c:pt idx="8" formatCode="General">
                  <c:v>883.39780100000053</c:v>
                </c:pt>
                <c:pt idx="9" formatCode="General">
                  <c:v>900.67880200000639</c:v>
                </c:pt>
                <c:pt idx="10" formatCode="General">
                  <c:v>902.49184600000035</c:v>
                </c:pt>
                <c:pt idx="11" formatCode="General">
                  <c:v>911.33503600000051</c:v>
                </c:pt>
                <c:pt idx="12" formatCode="General">
                  <c:v>920.55377400000316</c:v>
                </c:pt>
                <c:pt idx="13" formatCode="General">
                  <c:v>929.36653699999499</c:v>
                </c:pt>
                <c:pt idx="14" formatCode="General">
                  <c:v>940.5851879999999</c:v>
                </c:pt>
                <c:pt idx="15" formatCode="General">
                  <c:v>985.83354999999722</c:v>
                </c:pt>
                <c:pt idx="16" formatCode="General">
                  <c:v>1005.1479679999941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BA6-4A10-8EA8-4661CE653879}"/>
            </c:ext>
          </c:extLst>
        </c:ser>
        <c:ser>
          <c:idx val="1"/>
          <c:order val="1"/>
          <c:tx>
            <c:v>#3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Uncalibrated!$M$27:$M$48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77.997398266666721</c:v>
                </c:pt>
                <c:pt idx="2">
                  <c:v>154.96198173333337</c:v>
                </c:pt>
                <c:pt idx="3">
                  <c:v>216.2635558166667</c:v>
                </c:pt>
                <c:pt idx="4">
                  <c:v>498.77812689999996</c:v>
                </c:pt>
                <c:pt idx="5">
                  <c:v>1116.3650999166666</c:v>
                </c:pt>
                <c:pt idx="6">
                  <c:v>1220.4395884666667</c:v>
                </c:pt>
                <c:pt idx="7">
                  <c:v>1282.3578105666666</c:v>
                </c:pt>
                <c:pt idx="8">
                  <c:v>1497.7552174833334</c:v>
                </c:pt>
                <c:pt idx="9">
                  <c:v>2702.0114649500001</c:v>
                </c:pt>
                <c:pt idx="10">
                  <c:v>2826.0307353666667</c:v>
                </c:pt>
                <c:pt idx="11">
                  <c:v>3444.0791586666669</c:v>
                </c:pt>
                <c:pt idx="12">
                  <c:v>4089.8052021333333</c:v>
                </c:pt>
                <c:pt idx="13">
                  <c:v>4701.5885738333336</c:v>
                </c:pt>
                <c:pt idx="14">
                  <c:v>5476.4494735500002</c:v>
                </c:pt>
                <c:pt idx="15">
                  <c:v>8624.7942698999996</c:v>
                </c:pt>
                <c:pt idx="16">
                  <c:v>10063.982300866666</c:v>
                </c:pt>
                <c:pt idx="17">
                  <c:v>13273.6473893</c:v>
                </c:pt>
                <c:pt idx="18">
                  <c:v>13446.755205566667</c:v>
                </c:pt>
              </c:numCache>
            </c:numRef>
          </c:xVal>
          <c:yVal>
            <c:numRef>
              <c:f>Uncalibrated!$G$27:$G$48</c:f>
              <c:numCache>
                <c:formatCode>@</c:formatCode>
                <c:ptCount val="22"/>
                <c:pt idx="0">
                  <c:v>2048.1470069999973</c:v>
                </c:pt>
                <c:pt idx="1">
                  <c:v>2049.3039569999942</c:v>
                </c:pt>
                <c:pt idx="2">
                  <c:v>2050.4288650000008</c:v>
                </c:pt>
                <c:pt idx="3">
                  <c:v>2051.3347589999976</c:v>
                </c:pt>
                <c:pt idx="4">
                  <c:v>2055.4599560000001</c:v>
                </c:pt>
                <c:pt idx="5">
                  <c:v>2062.2418290000028</c:v>
                </c:pt>
                <c:pt idx="6">
                  <c:v>2063.7725169999994</c:v>
                </c:pt>
                <c:pt idx="7">
                  <c:v>2064.6790190000061</c:v>
                </c:pt>
                <c:pt idx="8">
                  <c:v>2067.834990999997</c:v>
                </c:pt>
                <c:pt idx="9">
                  <c:v>2085.4599079999998</c:v>
                </c:pt>
                <c:pt idx="10">
                  <c:v>2087.3038590000033</c:v>
                </c:pt>
                <c:pt idx="11">
                  <c:v>2096.3981010000002</c:v>
                </c:pt>
                <c:pt idx="12">
                  <c:v>2105.8356150000059</c:v>
                </c:pt>
                <c:pt idx="13">
                  <c:v>2114.8344529999977</c:v>
                </c:pt>
                <c:pt idx="14">
                  <c:v>2126.1789880000001</c:v>
                </c:pt>
                <c:pt idx="15">
                  <c:v>2172.4915399999941</c:v>
                </c:pt>
                <c:pt idx="16">
                  <c:v>2192.2097250000006</c:v>
                </c:pt>
                <c:pt idx="17">
                  <c:v>2239.3041360000016</c:v>
                </c:pt>
                <c:pt idx="18">
                  <c:v>2241.8352730000001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BA6-4A10-8EA8-4661CE653879}"/>
            </c:ext>
          </c:extLst>
        </c:ser>
        <c:ser>
          <c:idx val="2"/>
          <c:order val="2"/>
          <c:tx>
            <c:v>#4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Uncalibrated!$M$51:$M$72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83.313542933333352</c:v>
                </c:pt>
                <c:pt idx="2">
                  <c:v>159.57709756666674</c:v>
                </c:pt>
                <c:pt idx="3">
                  <c:v>220.96199099999995</c:v>
                </c:pt>
                <c:pt idx="4">
                  <c:v>503.95989774999993</c:v>
                </c:pt>
                <c:pt idx="5">
                  <c:v>1122.3302392999999</c:v>
                </c:pt>
                <c:pt idx="6">
                  <c:v>1220.2562467333332</c:v>
                </c:pt>
                <c:pt idx="7">
                  <c:v>1283.4239766833332</c:v>
                </c:pt>
                <c:pt idx="8">
                  <c:v>1498.9213573333332</c:v>
                </c:pt>
                <c:pt idx="9">
                  <c:v>2702.6114603999999</c:v>
                </c:pt>
                <c:pt idx="10">
                  <c:v>2825.7973940666666</c:v>
                </c:pt>
                <c:pt idx="11">
                  <c:v>3443.1296923333334</c:v>
                </c:pt>
                <c:pt idx="12">
                  <c:v>4095.9375138333335</c:v>
                </c:pt>
                <c:pt idx="13">
                  <c:v>4708.6369836000003</c:v>
                </c:pt>
                <c:pt idx="14">
                  <c:v>5477.5828173833333</c:v>
                </c:pt>
                <c:pt idx="15">
                  <c:v>8649.2234401333335</c:v>
                </c:pt>
                <c:pt idx="16">
                  <c:v>10069.666163033333</c:v>
                </c:pt>
                <c:pt idx="17">
                  <c:v>13278.798443016665</c:v>
                </c:pt>
                <c:pt idx="18">
                  <c:v>13456.871360949999</c:v>
                </c:pt>
              </c:numCache>
            </c:numRef>
          </c:xVal>
          <c:yVal>
            <c:numRef>
              <c:f>Uncalibrated!$G$51:$G$72</c:f>
              <c:numCache>
                <c:formatCode>@</c:formatCode>
                <c:ptCount val="22"/>
                <c:pt idx="0">
                  <c:v>2990.1475080000005</c:v>
                </c:pt>
                <c:pt idx="1">
                  <c:v>2992.3355460000039</c:v>
                </c:pt>
                <c:pt idx="2">
                  <c:v>2992.5224759999946</c:v>
                </c:pt>
                <c:pt idx="3">
                  <c:v>2993.4288620000011</c:v>
                </c:pt>
                <c:pt idx="4">
                  <c:v>2997.5460029999995</c:v>
                </c:pt>
                <c:pt idx="5">
                  <c:v>3004.3344400000015</c:v>
                </c:pt>
                <c:pt idx="6">
                  <c:v>3005.7730900000029</c:v>
                </c:pt>
                <c:pt idx="7">
                  <c:v>3006.7099309999999</c:v>
                </c:pt>
                <c:pt idx="8">
                  <c:v>3009.8665140000003</c:v>
                </c:pt>
                <c:pt idx="9">
                  <c:v>3027.460432000003</c:v>
                </c:pt>
                <c:pt idx="10">
                  <c:v>3029.3043530000068</c:v>
                </c:pt>
                <c:pt idx="11">
                  <c:v>3038.3665019999994</c:v>
                </c:pt>
                <c:pt idx="12">
                  <c:v>3047.89761</c:v>
                </c:pt>
                <c:pt idx="13">
                  <c:v>3056.9288190000016</c:v>
                </c:pt>
                <c:pt idx="14">
                  <c:v>3068.1790430000033</c:v>
                </c:pt>
                <c:pt idx="15">
                  <c:v>3114.7415939999978</c:v>
                </c:pt>
                <c:pt idx="16">
                  <c:v>3134.178699999994</c:v>
                </c:pt>
                <c:pt idx="17">
                  <c:v>3181.2415940000051</c:v>
                </c:pt>
                <c:pt idx="18">
                  <c:v>3183.8663369999999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BA6-4A10-8EA8-4661CE653879}"/>
            </c:ext>
          </c:extLst>
        </c:ser>
        <c:ser>
          <c:idx val="3"/>
          <c:order val="3"/>
          <c:tx>
            <c:v>#5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Uncalibrated!$M$75:$M$96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96.342179883333358</c:v>
                </c:pt>
                <c:pt idx="2">
                  <c:v>164.75782366666664</c:v>
                </c:pt>
                <c:pt idx="3">
                  <c:v>225.75884895000007</c:v>
                </c:pt>
                <c:pt idx="4">
                  <c:v>508.75364188333339</c:v>
                </c:pt>
                <c:pt idx="5">
                  <c:v>1127.3333443166666</c:v>
                </c:pt>
                <c:pt idx="6">
                  <c:v>1220.8932508666667</c:v>
                </c:pt>
                <c:pt idx="7">
                  <c:v>1282.5942732333333</c:v>
                </c:pt>
                <c:pt idx="8">
                  <c:v>1499.9890671666667</c:v>
                </c:pt>
                <c:pt idx="9">
                  <c:v>2703.0994769666668</c:v>
                </c:pt>
                <c:pt idx="10">
                  <c:v>2824.3182224833336</c:v>
                </c:pt>
                <c:pt idx="11">
                  <c:v>3443.0265677500001</c:v>
                </c:pt>
                <c:pt idx="12">
                  <c:v>4101.0927109833337</c:v>
                </c:pt>
                <c:pt idx="13">
                  <c:v>4713.8520715833338</c:v>
                </c:pt>
                <c:pt idx="14">
                  <c:v>5478.2573003166672</c:v>
                </c:pt>
                <c:pt idx="15">
                  <c:v>8641.2156197166678</c:v>
                </c:pt>
                <c:pt idx="16">
                  <c:v>10075.956245533334</c:v>
                </c:pt>
                <c:pt idx="17">
                  <c:v>13286.353640700001</c:v>
                </c:pt>
                <c:pt idx="18">
                  <c:v>13457.77655835</c:v>
                </c:pt>
              </c:numCache>
            </c:numRef>
          </c:xVal>
          <c:yVal>
            <c:numRef>
              <c:f>Uncalibrated!$G$75:$G$96</c:f>
              <c:numCache>
                <c:formatCode>@</c:formatCode>
                <c:ptCount val="22"/>
                <c:pt idx="0">
                  <c:v>3732.1165269999983</c:v>
                </c:pt>
                <c:pt idx="1">
                  <c:v>3733.585482000005</c:v>
                </c:pt>
                <c:pt idx="2">
                  <c:v>3734.6468560000017</c:v>
                </c:pt>
                <c:pt idx="3">
                  <c:v>3735.5853919999986</c:v>
                </c:pt>
                <c:pt idx="4">
                  <c:v>3739.8975840000003</c:v>
                </c:pt>
                <c:pt idx="5">
                  <c:v>3747.1160690000006</c:v>
                </c:pt>
                <c:pt idx="6">
                  <c:v>3748.5221280000073</c:v>
                </c:pt>
                <c:pt idx="7">
                  <c:v>3749.4601740000039</c:v>
                </c:pt>
                <c:pt idx="8">
                  <c:v>3752.7726689999949</c:v>
                </c:pt>
                <c:pt idx="9">
                  <c:v>3771.1478230000043</c:v>
                </c:pt>
                <c:pt idx="10">
                  <c:v>3773.0228789999983</c:v>
                </c:pt>
                <c:pt idx="11">
                  <c:v>3782.5226680000005</c:v>
                </c:pt>
                <c:pt idx="12">
                  <c:v>3792.5540780000078</c:v>
                </c:pt>
                <c:pt idx="13">
                  <c:v>3801.9919900000091</c:v>
                </c:pt>
                <c:pt idx="14">
                  <c:v>3813.6788290000013</c:v>
                </c:pt>
                <c:pt idx="15">
                  <c:v>3862.1792880000057</c:v>
                </c:pt>
                <c:pt idx="16">
                  <c:v>3882.7415649999925</c:v>
                </c:pt>
                <c:pt idx="17">
                  <c:v>3931.8978830000069</c:v>
                </c:pt>
                <c:pt idx="18">
                  <c:v>3934.5225840000003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BA6-4A10-8EA8-4661CE653879}"/>
            </c:ext>
          </c:extLst>
        </c:ser>
        <c:ser>
          <c:idx val="5"/>
          <c:order val="4"/>
          <c:tx>
            <c:v>#6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Uncalibrated!$M$99:$M$120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100.98855598333334</c:v>
                </c:pt>
                <c:pt idx="2">
                  <c:v>170.56928806666673</c:v>
                </c:pt>
                <c:pt idx="3">
                  <c:v>234.30156851666669</c:v>
                </c:pt>
                <c:pt idx="4">
                  <c:v>515.95678256666667</c:v>
                </c:pt>
                <c:pt idx="5">
                  <c:v>1131.9567879333333</c:v>
                </c:pt>
                <c:pt idx="6">
                  <c:v>1220.1323139833332</c:v>
                </c:pt>
                <c:pt idx="7">
                  <c:v>1273.5510602999998</c:v>
                </c:pt>
                <c:pt idx="8">
                  <c:v>1500.7718875166665</c:v>
                </c:pt>
                <c:pt idx="9">
                  <c:v>2702.8713600333331</c:v>
                </c:pt>
                <c:pt idx="10">
                  <c:v>2823.5374986499996</c:v>
                </c:pt>
                <c:pt idx="11">
                  <c:v>3443.5317796166664</c:v>
                </c:pt>
                <c:pt idx="12">
                  <c:v>4106.6479267666664</c:v>
                </c:pt>
                <c:pt idx="13">
                  <c:v>4722.1593955166663</c:v>
                </c:pt>
                <c:pt idx="14">
                  <c:v>5478.3494921666661</c:v>
                </c:pt>
                <c:pt idx="15">
                  <c:v>8637.7859557499996</c:v>
                </c:pt>
                <c:pt idx="16">
                  <c:v>10081.457828666666</c:v>
                </c:pt>
                <c:pt idx="17">
                  <c:v>13293.864072549999</c:v>
                </c:pt>
                <c:pt idx="18">
                  <c:v>13464.700021633333</c:v>
                </c:pt>
              </c:numCache>
            </c:numRef>
          </c:xVal>
          <c:yVal>
            <c:numRef>
              <c:f>Uncalibrated!$G$99:$G$120</c:f>
              <c:numCache>
                <c:formatCode>@</c:formatCode>
                <c:ptCount val="22"/>
                <c:pt idx="0">
                  <c:v>3876.8980290000013</c:v>
                </c:pt>
                <c:pt idx="1">
                  <c:v>3878.5851040000048</c:v>
                </c:pt>
                <c:pt idx="2">
                  <c:v>3879.7411490000018</c:v>
                </c:pt>
                <c:pt idx="3">
                  <c:v>3880.8039839999992</c:v>
                </c:pt>
                <c:pt idx="4">
                  <c:v>3885.4914129999997</c:v>
                </c:pt>
                <c:pt idx="5">
                  <c:v>3893.4914730000028</c:v>
                </c:pt>
                <c:pt idx="6">
                  <c:v>3894.9599330000046</c:v>
                </c:pt>
                <c:pt idx="7">
                  <c:v>3895.8349480000015</c:v>
                </c:pt>
                <c:pt idx="8">
                  <c:v>3899.5843799999984</c:v>
                </c:pt>
                <c:pt idx="9">
                  <c:v>3919.6165969999956</c:v>
                </c:pt>
                <c:pt idx="10">
                  <c:v>3921.6480819999992</c:v>
                </c:pt>
                <c:pt idx="11">
                  <c:v>3931.991532</c:v>
                </c:pt>
                <c:pt idx="12">
                  <c:v>3943.022676999999</c:v>
                </c:pt>
                <c:pt idx="13">
                  <c:v>3953.3349799999978</c:v>
                </c:pt>
                <c:pt idx="14">
                  <c:v>3965.9290010000041</c:v>
                </c:pt>
                <c:pt idx="15">
                  <c:v>4018.7412160000013</c:v>
                </c:pt>
                <c:pt idx="16">
                  <c:v>4041.4288289999986</c:v>
                </c:pt>
                <c:pt idx="17">
                  <c:v>4095.0540819999974</c:v>
                </c:pt>
                <c:pt idx="18">
                  <c:v>4097.8971730000003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BA6-4A10-8EA8-4661CE653879}"/>
            </c:ext>
          </c:extLst>
        </c:ser>
        <c:ser>
          <c:idx val="6"/>
          <c:order val="5"/>
          <c:tx>
            <c:v>#7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Uncalibrated!$M$123:$M$144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104.73593795000012</c:v>
                </c:pt>
                <c:pt idx="2">
                  <c:v>175.61562075000006</c:v>
                </c:pt>
                <c:pt idx="3">
                  <c:v>239.01354158333345</c:v>
                </c:pt>
                <c:pt idx="4">
                  <c:v>522.31511500000011</c:v>
                </c:pt>
                <c:pt idx="5">
                  <c:v>1136.4093722500002</c:v>
                </c:pt>
                <c:pt idx="6">
                  <c:v>1217.8192600000002</c:v>
                </c:pt>
                <c:pt idx="7">
                  <c:v>1273.2031627666668</c:v>
                </c:pt>
                <c:pt idx="8">
                  <c:v>1501.2708341333337</c:v>
                </c:pt>
                <c:pt idx="9">
                  <c:v>2702.5083403500003</c:v>
                </c:pt>
                <c:pt idx="10">
                  <c:v>2821.6234388000003</c:v>
                </c:pt>
                <c:pt idx="11">
                  <c:v>3442.8270886</c:v>
                </c:pt>
                <c:pt idx="12">
                  <c:v>4119.0822911499999</c:v>
                </c:pt>
                <c:pt idx="13">
                  <c:v>4726.5395898999996</c:v>
                </c:pt>
                <c:pt idx="14">
                  <c:v>5478.5057268</c:v>
                </c:pt>
                <c:pt idx="15">
                  <c:v>8653.7546836166657</c:v>
                </c:pt>
                <c:pt idx="16">
                  <c:v>10087.897396833332</c:v>
                </c:pt>
                <c:pt idx="17">
                  <c:v>13298.736988549997</c:v>
                </c:pt>
                <c:pt idx="18">
                  <c:v>13468.788034333331</c:v>
                </c:pt>
              </c:numCache>
            </c:numRef>
          </c:xVal>
          <c:yVal>
            <c:numRef>
              <c:f>Uncalibrated!$G$123:$G$144</c:f>
              <c:numCache>
                <c:formatCode>@</c:formatCode>
                <c:ptCount val="22"/>
                <c:pt idx="0">
                  <c:v>1238.8975140000048</c:v>
                </c:pt>
                <c:pt idx="1">
                  <c:v>1240.7417109999988</c:v>
                </c:pt>
                <c:pt idx="2">
                  <c:v>1241.9604779999956</c:v>
                </c:pt>
                <c:pt idx="3">
                  <c:v>1243.0854119999992</c:v>
                </c:pt>
                <c:pt idx="4">
                  <c:v>1247.9911000000002</c:v>
                </c:pt>
                <c:pt idx="5">
                  <c:v>1256.3351790000029</c:v>
                </c:pt>
                <c:pt idx="6">
                  <c:v>1257.741866999995</c:v>
                </c:pt>
                <c:pt idx="7">
                  <c:v>1258.7091980000016</c:v>
                </c:pt>
                <c:pt idx="8">
                  <c:v>1262.647357999999</c:v>
                </c:pt>
                <c:pt idx="9">
                  <c:v>1283.3975400000022</c:v>
                </c:pt>
                <c:pt idx="10">
                  <c:v>1285.4914829999962</c:v>
                </c:pt>
                <c:pt idx="11">
                  <c:v>1296.272649</c:v>
                </c:pt>
                <c:pt idx="12">
                  <c:v>1307.9604200000063</c:v>
                </c:pt>
                <c:pt idx="13">
                  <c:v>1318.5226910000013</c:v>
                </c:pt>
                <c:pt idx="14">
                  <c:v>1331.5539580000002</c:v>
                </c:pt>
                <c:pt idx="15">
                  <c:v>1386.6165789999961</c:v>
                </c:pt>
                <c:pt idx="16">
                  <c:v>1410.0541059999998</c:v>
                </c:pt>
                <c:pt idx="17">
                  <c:v>1465.6783829999956</c:v>
                </c:pt>
                <c:pt idx="18">
                  <c:v>1468.6159220000002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BA6-4A10-8EA8-4661CE653879}"/>
            </c:ext>
          </c:extLst>
        </c:ser>
        <c:ser>
          <c:idx val="7"/>
          <c:order val="6"/>
          <c:tx>
            <c:v>#8 Time drfit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Uncalibrated!$M$147:$M$168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111.20416545000012</c:v>
                </c:pt>
                <c:pt idx="2">
                  <c:v>184.5515601333334</c:v>
                </c:pt>
                <c:pt idx="3">
                  <c:v>245.83542866666676</c:v>
                </c:pt>
                <c:pt idx="4">
                  <c:v>529.59428361666676</c:v>
                </c:pt>
                <c:pt idx="5">
                  <c:v>1143.3703121000001</c:v>
                </c:pt>
                <c:pt idx="6">
                  <c:v>1215.7348949666666</c:v>
                </c:pt>
                <c:pt idx="7">
                  <c:v>1274.4198119833334</c:v>
                </c:pt>
                <c:pt idx="8">
                  <c:v>1503.2432249666667</c:v>
                </c:pt>
                <c:pt idx="9">
                  <c:v>2704.1604259000001</c:v>
                </c:pt>
                <c:pt idx="10">
                  <c:v>2820.8125029833336</c:v>
                </c:pt>
                <c:pt idx="11">
                  <c:v>3443.415105016667</c:v>
                </c:pt>
                <c:pt idx="12">
                  <c:v>4127.0015756000003</c:v>
                </c:pt>
                <c:pt idx="13">
                  <c:v>4733.5078560000002</c:v>
                </c:pt>
                <c:pt idx="14">
                  <c:v>5480.4114927333339</c:v>
                </c:pt>
                <c:pt idx="15">
                  <c:v>8655.9562553666674</c:v>
                </c:pt>
                <c:pt idx="16">
                  <c:v>10093.851054633335</c:v>
                </c:pt>
                <c:pt idx="17">
                  <c:v>13305.669799166668</c:v>
                </c:pt>
                <c:pt idx="18">
                  <c:v>13463.561985716668</c:v>
                </c:pt>
              </c:numCache>
            </c:numRef>
          </c:xVal>
          <c:yVal>
            <c:numRef>
              <c:f>Uncalibrated!$G$147:$G$168</c:f>
              <c:numCache>
                <c:formatCode>@</c:formatCode>
                <c:ptCount val="22"/>
                <c:pt idx="0">
                  <c:v>-3269.195714999993</c:v>
                </c:pt>
                <c:pt idx="1">
                  <c:v>-3267.4538239999993</c:v>
                </c:pt>
                <c:pt idx="2">
                  <c:v>-3266.2897730000022</c:v>
                </c:pt>
                <c:pt idx="3">
                  <c:v>-3265.3211430000056</c:v>
                </c:pt>
                <c:pt idx="4">
                  <c:v>-3260.8526059999999</c:v>
                </c:pt>
                <c:pt idx="5">
                  <c:v>-3253.4145980000035</c:v>
                </c:pt>
                <c:pt idx="6">
                  <c:v>-3252.2893199999967</c:v>
                </c:pt>
                <c:pt idx="7">
                  <c:v>-3251.3840249999998</c:v>
                </c:pt>
                <c:pt idx="8">
                  <c:v>-3247.7893689999928</c:v>
                </c:pt>
                <c:pt idx="9">
                  <c:v>-3228.8210209999984</c:v>
                </c:pt>
                <c:pt idx="10">
                  <c:v>-3226.9458169999989</c:v>
                </c:pt>
                <c:pt idx="11">
                  <c:v>-3217.1018830000003</c:v>
                </c:pt>
                <c:pt idx="12">
                  <c:v>-3206.2899299999976</c:v>
                </c:pt>
                <c:pt idx="13">
                  <c:v>-3196.6658229999944</c:v>
                </c:pt>
                <c:pt idx="14" formatCode="General">
                  <c:v>-3184.8842870000021</c:v>
                </c:pt>
                <c:pt idx="15" formatCode="General">
                  <c:v>-3134.5710310000009</c:v>
                </c:pt>
                <c:pt idx="16">
                  <c:v>-3113.2588689999975</c:v>
                </c:pt>
                <c:pt idx="17">
                  <c:v>-3062.383886999999</c:v>
                </c:pt>
                <c:pt idx="18">
                  <c:v>-3059.9149069999999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BA6-4A10-8EA8-4661CE653879}"/>
            </c:ext>
          </c:extLst>
        </c:ser>
        <c:ser>
          <c:idx val="8"/>
          <c:order val="7"/>
          <c:tx>
            <c:v>#1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Uncalibrated!$M$171:$M$173</c:f>
              <c:numCache>
                <c:formatCode>@</c:formatCode>
                <c:ptCount val="3"/>
                <c:pt idx="0" formatCode="General">
                  <c:v>0</c:v>
                </c:pt>
                <c:pt idx="1">
                  <c:v>87.912490833333337</c:v>
                </c:pt>
                <c:pt idx="2">
                  <c:v>661.03019995</c:v>
                </c:pt>
              </c:numCache>
            </c:numRef>
          </c:xVal>
          <c:yVal>
            <c:numRef>
              <c:f>Uncalibrated!$G$171:$G$173</c:f>
              <c:numCache>
                <c:formatCode>@</c:formatCode>
                <c:ptCount val="3"/>
                <c:pt idx="0">
                  <c:v>531.05356500000005</c:v>
                </c:pt>
                <c:pt idx="1">
                  <c:v>532.30379000000084</c:v>
                </c:pt>
                <c:pt idx="2">
                  <c:v>540.24130899999807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BA6-4A10-8EA8-4661CE653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560735"/>
        <c:axId val="849494383"/>
      </c:scatterChart>
      <c:valAx>
        <c:axId val="85956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494383"/>
        <c:crosses val="autoZero"/>
        <c:crossBetween val="midCat"/>
      </c:valAx>
      <c:valAx>
        <c:axId val="84949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560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6449454471736"/>
          <c:y val="0.12382045903143926"/>
          <c:w val="0.2534327129580653"/>
          <c:h val="0.837478616276449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#2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Uncalibrated!$Y$1:$Y$19</c:f>
              <c:numCache>
                <c:formatCode>General</c:formatCode>
                <c:ptCount val="19"/>
                <c:pt idx="0">
                  <c:v>0</c:v>
                </c:pt>
                <c:pt idx="1">
                  <c:v>1.5313789999938763</c:v>
                </c:pt>
                <c:pt idx="2">
                  <c:v>2.6246940000004315</c:v>
                </c:pt>
                <c:pt idx="3">
                  <c:v>3.5295799999973951</c:v>
                </c:pt>
                <c:pt idx="4">
                  <c:v>7.5313499999961095</c:v>
                </c:pt>
                <c:pt idx="5">
                  <c:v>14.124963999995657</c:v>
                </c:pt>
                <c:pt idx="6">
                  <c:v>15.687031999999135</c:v>
                </c:pt>
                <c:pt idx="7">
                  <c:v>16.562141999996243</c:v>
                </c:pt>
                <c:pt idx="8">
                  <c:v>19.625031999996622</c:v>
                </c:pt>
                <c:pt idx="9">
                  <c:v>36.906033000002481</c:v>
                </c:pt>
                <c:pt idx="10">
                  <c:v>38.719076999996446</c:v>
                </c:pt>
                <c:pt idx="11">
                  <c:v>47.562266999996609</c:v>
                </c:pt>
                <c:pt idx="12">
                  <c:v>56.781004999999254</c:v>
                </c:pt>
                <c:pt idx="13">
                  <c:v>65.593767999991087</c:v>
                </c:pt>
                <c:pt idx="14">
                  <c:v>76.812418999995998</c:v>
                </c:pt>
                <c:pt idx="15">
                  <c:v>122.06078099999331</c:v>
                </c:pt>
                <c:pt idx="16">
                  <c:v>141.37519899999018</c:v>
                </c:pt>
              </c:numCache>
            </c:numRef>
          </c:xVal>
          <c:yVal>
            <c:numRef>
              <c:f>Uncalibrated!$Z$1:$Z$19</c:f>
              <c:numCache>
                <c:formatCode>General</c:formatCode>
                <c:ptCount val="19"/>
                <c:pt idx="0">
                  <c:v>0</c:v>
                </c:pt>
                <c:pt idx="1">
                  <c:v>104.62448163333333</c:v>
                </c:pt>
                <c:pt idx="2">
                  <c:v>181.48959604999996</c:v>
                </c:pt>
                <c:pt idx="3">
                  <c:v>242.89119909999997</c:v>
                </c:pt>
                <c:pt idx="4">
                  <c:v>524.5578207166667</c:v>
                </c:pt>
                <c:pt idx="5">
                  <c:v>1142.5812605833335</c:v>
                </c:pt>
                <c:pt idx="6">
                  <c:v>1251.1885548833334</c:v>
                </c:pt>
                <c:pt idx="7">
                  <c:v>1313.2739665333334</c:v>
                </c:pt>
                <c:pt idx="8">
                  <c:v>1528.25626005</c:v>
                </c:pt>
                <c:pt idx="9">
                  <c:v>2733.2849083000001</c:v>
                </c:pt>
                <c:pt idx="10">
                  <c:v>2857.6713579500001</c:v>
                </c:pt>
                <c:pt idx="11">
                  <c:v>3470.9573107333335</c:v>
                </c:pt>
                <c:pt idx="12">
                  <c:v>4115.6536581666669</c:v>
                </c:pt>
                <c:pt idx="13">
                  <c:v>4725.5234434833337</c:v>
                </c:pt>
                <c:pt idx="14">
                  <c:v>5506.953129616667</c:v>
                </c:pt>
                <c:pt idx="15">
                  <c:v>8650.2323481333333</c:v>
                </c:pt>
                <c:pt idx="16">
                  <c:v>10090.343752766667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F5-4659-AE46-0FD891A741F3}"/>
            </c:ext>
          </c:extLst>
        </c:ser>
        <c:ser>
          <c:idx val="1"/>
          <c:order val="1"/>
          <c:tx>
            <c:v>#3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Uncalibrated!$AA$1:$AA$19</c:f>
              <c:numCache>
                <c:formatCode>General</c:formatCode>
                <c:ptCount val="19"/>
                <c:pt idx="0">
                  <c:v>0</c:v>
                </c:pt>
                <c:pt idx="1">
                  <c:v>1.1569499999968684</c:v>
                </c:pt>
                <c:pt idx="2">
                  <c:v>2.2818580000034672</c:v>
                </c:pt>
                <c:pt idx="3">
                  <c:v>3.1877520000002733</c:v>
                </c:pt>
                <c:pt idx="4">
                  <c:v>7.3129490000028454</c:v>
                </c:pt>
                <c:pt idx="5">
                  <c:v>14.094822000005479</c:v>
                </c:pt>
                <c:pt idx="6">
                  <c:v>15.625510000002123</c:v>
                </c:pt>
                <c:pt idx="7">
                  <c:v>16.532012000008763</c:v>
                </c:pt>
                <c:pt idx="8">
                  <c:v>19.687983999999688</c:v>
                </c:pt>
                <c:pt idx="9">
                  <c:v>37.312901000002512</c:v>
                </c:pt>
                <c:pt idx="10">
                  <c:v>39.156852000005983</c:v>
                </c:pt>
                <c:pt idx="11">
                  <c:v>48.251094000002922</c:v>
                </c:pt>
                <c:pt idx="12">
                  <c:v>57.688608000008571</c:v>
                </c:pt>
                <c:pt idx="13">
                  <c:v>66.687446000000364</c:v>
                </c:pt>
                <c:pt idx="14">
                  <c:v>78.031981000002816</c:v>
                </c:pt>
                <c:pt idx="15">
                  <c:v>124.34453299999677</c:v>
                </c:pt>
                <c:pt idx="16">
                  <c:v>144.06271800000331</c:v>
                </c:pt>
                <c:pt idx="17">
                  <c:v>191.15712900000426</c:v>
                </c:pt>
                <c:pt idx="18">
                  <c:v>193.68826600000284</c:v>
                </c:pt>
              </c:numCache>
            </c:numRef>
          </c:xVal>
          <c:yVal>
            <c:numRef>
              <c:f>Uncalibrated!$AB$1:$AB$19</c:f>
              <c:numCache>
                <c:formatCode>General</c:formatCode>
                <c:ptCount val="19"/>
                <c:pt idx="0">
                  <c:v>0</c:v>
                </c:pt>
                <c:pt idx="1">
                  <c:v>77.997398266666721</c:v>
                </c:pt>
                <c:pt idx="2">
                  <c:v>154.96198173333337</c:v>
                </c:pt>
                <c:pt idx="3">
                  <c:v>216.2635558166667</c:v>
                </c:pt>
                <c:pt idx="4">
                  <c:v>498.77812689999996</c:v>
                </c:pt>
                <c:pt idx="5">
                  <c:v>1116.3650999166666</c:v>
                </c:pt>
                <c:pt idx="6">
                  <c:v>1220.4395884666667</c:v>
                </c:pt>
                <c:pt idx="7">
                  <c:v>1282.3578105666666</c:v>
                </c:pt>
                <c:pt idx="8">
                  <c:v>1497.7552174833334</c:v>
                </c:pt>
                <c:pt idx="9">
                  <c:v>2702.0114649500001</c:v>
                </c:pt>
                <c:pt idx="10">
                  <c:v>2826.0307353666667</c:v>
                </c:pt>
                <c:pt idx="11">
                  <c:v>3444.0791586666669</c:v>
                </c:pt>
                <c:pt idx="12" formatCode="@">
                  <c:v>4089.8052021333333</c:v>
                </c:pt>
                <c:pt idx="13" formatCode="@">
                  <c:v>4701.5885738333336</c:v>
                </c:pt>
                <c:pt idx="14" formatCode="@">
                  <c:v>5476.4494735500002</c:v>
                </c:pt>
                <c:pt idx="15" formatCode="@">
                  <c:v>8624.7942698999996</c:v>
                </c:pt>
                <c:pt idx="16" formatCode="@">
                  <c:v>10063.982300866666</c:v>
                </c:pt>
                <c:pt idx="17" formatCode="@">
                  <c:v>13273.6473893</c:v>
                </c:pt>
                <c:pt idx="18" formatCode="@">
                  <c:v>13446.755205566667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F5-4659-AE46-0FD891A741F3}"/>
            </c:ext>
          </c:extLst>
        </c:ser>
        <c:ser>
          <c:idx val="2"/>
          <c:order val="2"/>
          <c:tx>
            <c:v>#4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Uncalibrated!$AC$1:$AC$19</c:f>
              <c:numCache>
                <c:formatCode>General</c:formatCode>
                <c:ptCount val="19"/>
                <c:pt idx="0">
                  <c:v>0</c:v>
                </c:pt>
                <c:pt idx="1">
                  <c:v>1.1569499999968684</c:v>
                </c:pt>
                <c:pt idx="2">
                  <c:v>2.2818580000034672</c:v>
                </c:pt>
                <c:pt idx="3">
                  <c:v>3.1877520000002733</c:v>
                </c:pt>
                <c:pt idx="4">
                  <c:v>7.3129490000028454</c:v>
                </c:pt>
                <c:pt idx="5">
                  <c:v>14.094822000005479</c:v>
                </c:pt>
                <c:pt idx="6">
                  <c:v>15.625510000002123</c:v>
                </c:pt>
                <c:pt idx="7">
                  <c:v>16.532012000008763</c:v>
                </c:pt>
                <c:pt idx="8">
                  <c:v>19.687983999999688</c:v>
                </c:pt>
                <c:pt idx="9">
                  <c:v>37.312901000002512</c:v>
                </c:pt>
                <c:pt idx="10">
                  <c:v>39.156852000005983</c:v>
                </c:pt>
                <c:pt idx="11">
                  <c:v>48.251094000002922</c:v>
                </c:pt>
                <c:pt idx="12" formatCode="@">
                  <c:v>57.688608000008571</c:v>
                </c:pt>
                <c:pt idx="13" formatCode="@">
                  <c:v>66.687446000000364</c:v>
                </c:pt>
                <c:pt idx="14" formatCode="@">
                  <c:v>78.031981000002816</c:v>
                </c:pt>
                <c:pt idx="15" formatCode="@">
                  <c:v>124.34453299999677</c:v>
                </c:pt>
                <c:pt idx="16" formatCode="@">
                  <c:v>144.06271800000331</c:v>
                </c:pt>
                <c:pt idx="17" formatCode="@">
                  <c:v>191.15712900000426</c:v>
                </c:pt>
                <c:pt idx="18" formatCode="@">
                  <c:v>193.68826600000284</c:v>
                </c:pt>
              </c:numCache>
            </c:numRef>
          </c:xVal>
          <c:yVal>
            <c:numRef>
              <c:f>Uncalibrated!$AD$1:$AD$19</c:f>
              <c:numCache>
                <c:formatCode>General</c:formatCode>
                <c:ptCount val="19"/>
                <c:pt idx="0">
                  <c:v>0</c:v>
                </c:pt>
                <c:pt idx="1">
                  <c:v>77.997398266666721</c:v>
                </c:pt>
                <c:pt idx="2">
                  <c:v>154.96198173333337</c:v>
                </c:pt>
                <c:pt idx="3">
                  <c:v>216.2635558166667</c:v>
                </c:pt>
                <c:pt idx="4">
                  <c:v>498.77812689999996</c:v>
                </c:pt>
                <c:pt idx="5">
                  <c:v>1116.3650999166666</c:v>
                </c:pt>
                <c:pt idx="6">
                  <c:v>1220.4395884666667</c:v>
                </c:pt>
                <c:pt idx="7">
                  <c:v>1282.3578105666666</c:v>
                </c:pt>
                <c:pt idx="8">
                  <c:v>1497.7552174833334</c:v>
                </c:pt>
                <c:pt idx="9">
                  <c:v>2702.0114649500001</c:v>
                </c:pt>
                <c:pt idx="10">
                  <c:v>2826.0307353666667</c:v>
                </c:pt>
                <c:pt idx="11">
                  <c:v>3444.0791586666669</c:v>
                </c:pt>
                <c:pt idx="12">
                  <c:v>4089.8052021333333</c:v>
                </c:pt>
                <c:pt idx="13">
                  <c:v>4701.5885738333336</c:v>
                </c:pt>
                <c:pt idx="14">
                  <c:v>5476.4494735500002</c:v>
                </c:pt>
                <c:pt idx="15">
                  <c:v>8624.7942698999996</c:v>
                </c:pt>
                <c:pt idx="16">
                  <c:v>10063.982300866666</c:v>
                </c:pt>
                <c:pt idx="17">
                  <c:v>13273.6473893</c:v>
                </c:pt>
                <c:pt idx="18">
                  <c:v>13446.755205566667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F5-4659-AE46-0FD891A741F3}"/>
            </c:ext>
          </c:extLst>
        </c:ser>
        <c:ser>
          <c:idx val="3"/>
          <c:order val="3"/>
          <c:tx>
            <c:v>#5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Uncalibrated!$AE$1:$AE$19</c:f>
              <c:numCache>
                <c:formatCode>General</c:formatCode>
                <c:ptCount val="19"/>
                <c:pt idx="0">
                  <c:v>0</c:v>
                </c:pt>
                <c:pt idx="1">
                  <c:v>2.1880380000034165</c:v>
                </c:pt>
                <c:pt idx="2">
                  <c:v>2.3749679999941691</c:v>
                </c:pt>
                <c:pt idx="3">
                  <c:v>3.2813540000006469</c:v>
                </c:pt>
                <c:pt idx="4">
                  <c:v>7.3984949999990022</c:v>
                </c:pt>
                <c:pt idx="5">
                  <c:v>14.186932000000979</c:v>
                </c:pt>
                <c:pt idx="6">
                  <c:v>15.625582000002396</c:v>
                </c:pt>
                <c:pt idx="7">
                  <c:v>16.562422999999399</c:v>
                </c:pt>
                <c:pt idx="8">
                  <c:v>19.719005999999808</c:v>
                </c:pt>
                <c:pt idx="9">
                  <c:v>37.312924000002567</c:v>
                </c:pt>
                <c:pt idx="10">
                  <c:v>39.156845000006342</c:v>
                </c:pt>
                <c:pt idx="11">
                  <c:v>48.218993999998929</c:v>
                </c:pt>
                <c:pt idx="12">
                  <c:v>57.750101999999515</c:v>
                </c:pt>
                <c:pt idx="13">
                  <c:v>66.781311000001097</c:v>
                </c:pt>
                <c:pt idx="14">
                  <c:v>78.031535000002805</c:v>
                </c:pt>
                <c:pt idx="15">
                  <c:v>124.59408599999733</c:v>
                </c:pt>
                <c:pt idx="16">
                  <c:v>144.03119199999355</c:v>
                </c:pt>
                <c:pt idx="17">
                  <c:v>191.09408600000461</c:v>
                </c:pt>
                <c:pt idx="18">
                  <c:v>193.71882899999946</c:v>
                </c:pt>
              </c:numCache>
            </c:numRef>
          </c:xVal>
          <c:yVal>
            <c:numRef>
              <c:f>Uncalibrated!$AF$1:$AF$19</c:f>
              <c:numCache>
                <c:formatCode>General</c:formatCode>
                <c:ptCount val="19"/>
                <c:pt idx="0">
                  <c:v>0</c:v>
                </c:pt>
                <c:pt idx="1">
                  <c:v>83.313542933333352</c:v>
                </c:pt>
                <c:pt idx="2">
                  <c:v>159.57709756666674</c:v>
                </c:pt>
                <c:pt idx="3">
                  <c:v>220.96199099999995</c:v>
                </c:pt>
                <c:pt idx="4">
                  <c:v>503.95989774999993</c:v>
                </c:pt>
                <c:pt idx="5">
                  <c:v>1122.3302392999999</c:v>
                </c:pt>
                <c:pt idx="6">
                  <c:v>1220.2562467333332</c:v>
                </c:pt>
                <c:pt idx="7">
                  <c:v>1283.4239766833332</c:v>
                </c:pt>
                <c:pt idx="8">
                  <c:v>1498.9213573333332</c:v>
                </c:pt>
                <c:pt idx="9">
                  <c:v>2702.6114603999999</c:v>
                </c:pt>
                <c:pt idx="10">
                  <c:v>2825.7973940666666</c:v>
                </c:pt>
                <c:pt idx="11">
                  <c:v>3443.1296923333334</c:v>
                </c:pt>
                <c:pt idx="12" formatCode="@">
                  <c:v>4095.9375138333335</c:v>
                </c:pt>
                <c:pt idx="13" formatCode="@">
                  <c:v>4708.6369836000003</c:v>
                </c:pt>
                <c:pt idx="14" formatCode="@">
                  <c:v>5477.5828173833333</c:v>
                </c:pt>
                <c:pt idx="15" formatCode="@">
                  <c:v>8649.2234401333335</c:v>
                </c:pt>
                <c:pt idx="16" formatCode="@">
                  <c:v>10069.666163033333</c:v>
                </c:pt>
                <c:pt idx="17" formatCode="@">
                  <c:v>13278.798443016665</c:v>
                </c:pt>
                <c:pt idx="18" formatCode="@">
                  <c:v>13456.871360949999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F5-4659-AE46-0FD891A741F3}"/>
            </c:ext>
          </c:extLst>
        </c:ser>
        <c:ser>
          <c:idx val="4"/>
          <c:order val="4"/>
          <c:tx>
            <c:v>#6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Uncalibrated!$AG$1:$AG$19</c:f>
              <c:numCache>
                <c:formatCode>General</c:formatCode>
                <c:ptCount val="19"/>
                <c:pt idx="0">
                  <c:v>0</c:v>
                </c:pt>
                <c:pt idx="1">
                  <c:v>1.4689550000066447</c:v>
                </c:pt>
                <c:pt idx="2">
                  <c:v>2.5303290000033485</c:v>
                </c:pt>
                <c:pt idx="3">
                  <c:v>3.4688650000002781</c:v>
                </c:pt>
                <c:pt idx="4">
                  <c:v>7.7810570000019652</c:v>
                </c:pt>
                <c:pt idx="5">
                  <c:v>14.999542000002293</c:v>
                </c:pt>
                <c:pt idx="6">
                  <c:v>16.405601000009028</c:v>
                </c:pt>
                <c:pt idx="7">
                  <c:v>17.343647000005603</c:v>
                </c:pt>
                <c:pt idx="8">
                  <c:v>20.656141999996635</c:v>
                </c:pt>
                <c:pt idx="9">
                  <c:v>39.031296000006023</c:v>
                </c:pt>
                <c:pt idx="10">
                  <c:v>40.90635199999997</c:v>
                </c:pt>
                <c:pt idx="11">
                  <c:v>50.406141000002208</c:v>
                </c:pt>
                <c:pt idx="12" formatCode="@">
                  <c:v>60.437551000009535</c:v>
                </c:pt>
                <c:pt idx="13" formatCode="@">
                  <c:v>69.875463000010768</c:v>
                </c:pt>
                <c:pt idx="14" formatCode="@">
                  <c:v>81.562302000003001</c:v>
                </c:pt>
                <c:pt idx="15" formatCode="@">
                  <c:v>130.06276100000741</c:v>
                </c:pt>
                <c:pt idx="16" formatCode="@">
                  <c:v>150.62503799999422</c:v>
                </c:pt>
                <c:pt idx="17" formatCode="@">
                  <c:v>199.7813560000086</c:v>
                </c:pt>
                <c:pt idx="18" formatCode="@">
                  <c:v>202.40605700000197</c:v>
                </c:pt>
              </c:numCache>
            </c:numRef>
          </c:xVal>
          <c:yVal>
            <c:numRef>
              <c:f>Uncalibrated!$AH$1:$AH$19</c:f>
              <c:numCache>
                <c:formatCode>General</c:formatCode>
                <c:ptCount val="19"/>
                <c:pt idx="0">
                  <c:v>0</c:v>
                </c:pt>
                <c:pt idx="1">
                  <c:v>96.342179883333358</c:v>
                </c:pt>
                <c:pt idx="2">
                  <c:v>164.75782366666664</c:v>
                </c:pt>
                <c:pt idx="3">
                  <c:v>225.75884895000007</c:v>
                </c:pt>
                <c:pt idx="4">
                  <c:v>508.75364188333339</c:v>
                </c:pt>
                <c:pt idx="5">
                  <c:v>1127.3333443166666</c:v>
                </c:pt>
                <c:pt idx="6">
                  <c:v>1220.8932508666667</c:v>
                </c:pt>
                <c:pt idx="7">
                  <c:v>1282.5942732333333</c:v>
                </c:pt>
                <c:pt idx="8">
                  <c:v>1499.9890671666667</c:v>
                </c:pt>
                <c:pt idx="9">
                  <c:v>2703.0994769666668</c:v>
                </c:pt>
                <c:pt idx="10">
                  <c:v>2824.3182224833336</c:v>
                </c:pt>
                <c:pt idx="11">
                  <c:v>3443.0265677500001</c:v>
                </c:pt>
                <c:pt idx="12">
                  <c:v>4101.0927109833337</c:v>
                </c:pt>
                <c:pt idx="13">
                  <c:v>4713.8520715833338</c:v>
                </c:pt>
                <c:pt idx="14">
                  <c:v>5478.2573003166672</c:v>
                </c:pt>
                <c:pt idx="15">
                  <c:v>8641.2156197166678</c:v>
                </c:pt>
                <c:pt idx="16">
                  <c:v>10075.956245533334</c:v>
                </c:pt>
                <c:pt idx="17">
                  <c:v>13286.353640700001</c:v>
                </c:pt>
                <c:pt idx="18">
                  <c:v>13457.77655835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BF5-4659-AE46-0FD891A741F3}"/>
            </c:ext>
          </c:extLst>
        </c:ser>
        <c:ser>
          <c:idx val="5"/>
          <c:order val="5"/>
          <c:tx>
            <c:v>#7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Uncalibrated!$AI$1:$AI$19</c:f>
              <c:numCache>
                <c:formatCode>General</c:formatCode>
                <c:ptCount val="19"/>
                <c:pt idx="0">
                  <c:v>0</c:v>
                </c:pt>
                <c:pt idx="1">
                  <c:v>1.6870750000034604</c:v>
                </c:pt>
                <c:pt idx="2">
                  <c:v>2.8431200000004537</c:v>
                </c:pt>
                <c:pt idx="3">
                  <c:v>3.9059549999979026</c:v>
                </c:pt>
                <c:pt idx="4">
                  <c:v>8.593383999998423</c:v>
                </c:pt>
                <c:pt idx="5">
                  <c:v>16.593444000001455</c:v>
                </c:pt>
                <c:pt idx="6">
                  <c:v>18.061904000003324</c:v>
                </c:pt>
                <c:pt idx="7">
                  <c:v>18.936919000000216</c:v>
                </c:pt>
                <c:pt idx="8">
                  <c:v>22.686350999997103</c:v>
                </c:pt>
                <c:pt idx="9">
                  <c:v>42.71856799999432</c:v>
                </c:pt>
                <c:pt idx="10">
                  <c:v>44.750052999997934</c:v>
                </c:pt>
                <c:pt idx="11">
                  <c:v>55.093502999998691</c:v>
                </c:pt>
                <c:pt idx="12">
                  <c:v>66.124647999997705</c:v>
                </c:pt>
                <c:pt idx="13">
                  <c:v>76.436950999996498</c:v>
                </c:pt>
                <c:pt idx="14">
                  <c:v>89.030972000002748</c:v>
                </c:pt>
                <c:pt idx="15">
                  <c:v>141.84318699999994</c:v>
                </c:pt>
                <c:pt idx="16">
                  <c:v>164.53079999999727</c:v>
                </c:pt>
                <c:pt idx="17">
                  <c:v>218.15605299999606</c:v>
                </c:pt>
                <c:pt idx="18">
                  <c:v>220.99914399999898</c:v>
                </c:pt>
              </c:numCache>
            </c:numRef>
          </c:xVal>
          <c:yVal>
            <c:numRef>
              <c:f>Uncalibrated!$AJ$1:$AJ$19</c:f>
              <c:numCache>
                <c:formatCode>General</c:formatCode>
                <c:ptCount val="19"/>
                <c:pt idx="0">
                  <c:v>0</c:v>
                </c:pt>
                <c:pt idx="1">
                  <c:v>100.98855598333334</c:v>
                </c:pt>
                <c:pt idx="2">
                  <c:v>170.56928806666673</c:v>
                </c:pt>
                <c:pt idx="3">
                  <c:v>234.30156851666669</c:v>
                </c:pt>
                <c:pt idx="4">
                  <c:v>515.95678256666667</c:v>
                </c:pt>
                <c:pt idx="5">
                  <c:v>1131.9567879333333</c:v>
                </c:pt>
                <c:pt idx="6">
                  <c:v>1220.1323139833332</c:v>
                </c:pt>
                <c:pt idx="7">
                  <c:v>1273.5510602999998</c:v>
                </c:pt>
                <c:pt idx="8">
                  <c:v>1500.7718875166665</c:v>
                </c:pt>
                <c:pt idx="9">
                  <c:v>2702.8713600333331</c:v>
                </c:pt>
                <c:pt idx="10">
                  <c:v>2823.5374986499996</c:v>
                </c:pt>
                <c:pt idx="11">
                  <c:v>3443.5317796166664</c:v>
                </c:pt>
                <c:pt idx="12">
                  <c:v>4106.6479267666664</c:v>
                </c:pt>
                <c:pt idx="13">
                  <c:v>4722.1593955166663</c:v>
                </c:pt>
                <c:pt idx="14">
                  <c:v>5478.3494921666661</c:v>
                </c:pt>
                <c:pt idx="15">
                  <c:v>8637.7859557499996</c:v>
                </c:pt>
                <c:pt idx="16">
                  <c:v>10081.457828666666</c:v>
                </c:pt>
                <c:pt idx="17">
                  <c:v>13293.864072549999</c:v>
                </c:pt>
                <c:pt idx="18">
                  <c:v>13464.700021633333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BF5-4659-AE46-0FD891A741F3}"/>
            </c:ext>
          </c:extLst>
        </c:ser>
        <c:ser>
          <c:idx val="6"/>
          <c:order val="6"/>
          <c:tx>
            <c:v>#8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Uncalibrated!$AM$1:$AM$19</c:f>
              <c:numCache>
                <c:formatCode>General</c:formatCode>
                <c:ptCount val="19"/>
                <c:pt idx="0">
                  <c:v>0</c:v>
                </c:pt>
                <c:pt idx="1">
                  <c:v>1.7418909999937569</c:v>
                </c:pt>
                <c:pt idx="2">
                  <c:v>2.9059419999907732</c:v>
                </c:pt>
                <c:pt idx="3">
                  <c:v>3.8745719999874382</c:v>
                </c:pt>
                <c:pt idx="4">
                  <c:v>8.3431089999930919</c:v>
                </c:pt>
                <c:pt idx="5">
                  <c:v>15.781116999989536</c:v>
                </c:pt>
                <c:pt idx="6">
                  <c:v>16.906394999996337</c:v>
                </c:pt>
                <c:pt idx="7">
                  <c:v>17.811689999993177</c:v>
                </c:pt>
                <c:pt idx="8">
                  <c:v>21.406346000000212</c:v>
                </c:pt>
                <c:pt idx="9">
                  <c:v>40.374693999994633</c:v>
                </c:pt>
                <c:pt idx="10">
                  <c:v>42.249897999994118</c:v>
                </c:pt>
                <c:pt idx="11">
                  <c:v>52.093831999992744</c:v>
                </c:pt>
                <c:pt idx="12">
                  <c:v>62.905784999995376</c:v>
                </c:pt>
                <c:pt idx="13">
                  <c:v>72.529891999998654</c:v>
                </c:pt>
                <c:pt idx="14">
                  <c:v>84.311427999990883</c:v>
                </c:pt>
                <c:pt idx="15">
                  <c:v>134.62468399999216</c:v>
                </c:pt>
                <c:pt idx="16">
                  <c:v>155.93684599999551</c:v>
                </c:pt>
                <c:pt idx="17">
                  <c:v>206.81182799999397</c:v>
                </c:pt>
                <c:pt idx="18">
                  <c:v>209.28080799999316</c:v>
                </c:pt>
              </c:numCache>
            </c:numRef>
          </c:xVal>
          <c:yVal>
            <c:numRef>
              <c:f>Uncalibrated!$AN$1:$AN$19</c:f>
              <c:numCache>
                <c:formatCode>General</c:formatCode>
                <c:ptCount val="19"/>
                <c:pt idx="0">
                  <c:v>0</c:v>
                </c:pt>
                <c:pt idx="1">
                  <c:v>111.20416545000012</c:v>
                </c:pt>
                <c:pt idx="2">
                  <c:v>184.5515601333334</c:v>
                </c:pt>
                <c:pt idx="3">
                  <c:v>245.83542866666676</c:v>
                </c:pt>
                <c:pt idx="4">
                  <c:v>529.59428361666676</c:v>
                </c:pt>
                <c:pt idx="5">
                  <c:v>1143.3703121000001</c:v>
                </c:pt>
                <c:pt idx="6">
                  <c:v>1215.7348949666666</c:v>
                </c:pt>
                <c:pt idx="7">
                  <c:v>1274.4198119833334</c:v>
                </c:pt>
                <c:pt idx="8">
                  <c:v>1503.2432249666667</c:v>
                </c:pt>
                <c:pt idx="9">
                  <c:v>2704.1604259000001</c:v>
                </c:pt>
                <c:pt idx="10">
                  <c:v>2820.8125029833336</c:v>
                </c:pt>
                <c:pt idx="11">
                  <c:v>3443.415105016667</c:v>
                </c:pt>
                <c:pt idx="12">
                  <c:v>4127.0015756000003</c:v>
                </c:pt>
                <c:pt idx="13">
                  <c:v>4733.5078560000002</c:v>
                </c:pt>
                <c:pt idx="14">
                  <c:v>5480.4114927333339</c:v>
                </c:pt>
                <c:pt idx="15">
                  <c:v>8655.9562553666674</c:v>
                </c:pt>
                <c:pt idx="16">
                  <c:v>10093.851054633335</c:v>
                </c:pt>
                <c:pt idx="17">
                  <c:v>13305.669799166668</c:v>
                </c:pt>
                <c:pt idx="18">
                  <c:v>13463.561985716668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BF5-4659-AE46-0FD891A741F3}"/>
            </c:ext>
          </c:extLst>
        </c:ser>
        <c:ser>
          <c:idx val="7"/>
          <c:order val="7"/>
          <c:tx>
            <c:v>#1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Uncalibrated!$AO$1:$AO$3</c:f>
              <c:numCache>
                <c:formatCode>General</c:formatCode>
                <c:ptCount val="3"/>
                <c:pt idx="0">
                  <c:v>0</c:v>
                </c:pt>
                <c:pt idx="1">
                  <c:v>1.2502250000007962</c:v>
                </c:pt>
                <c:pt idx="2">
                  <c:v>9.1877439999980197</c:v>
                </c:pt>
              </c:numCache>
            </c:numRef>
          </c:xVal>
          <c:yVal>
            <c:numRef>
              <c:f>Uncalibrated!$AP$1:$AP$3</c:f>
              <c:numCache>
                <c:formatCode>General</c:formatCode>
                <c:ptCount val="3"/>
                <c:pt idx="0">
                  <c:v>0</c:v>
                </c:pt>
                <c:pt idx="1">
                  <c:v>87.912490833333337</c:v>
                </c:pt>
                <c:pt idx="2">
                  <c:v>661.03019995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BF5-4659-AE46-0FD891A74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964735"/>
        <c:axId val="1118962335"/>
      </c:scatterChart>
      <c:valAx>
        <c:axId val="1118964735"/>
        <c:scaling>
          <c:orientation val="minMax"/>
          <c:max val="2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962335"/>
        <c:crosses val="autoZero"/>
        <c:crossBetween val="midCat"/>
        <c:majorUnit val="25"/>
      </c:valAx>
      <c:valAx>
        <c:axId val="1118962335"/>
        <c:scaling>
          <c:orientation val="minMax"/>
          <c:max val="1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964735"/>
        <c:crosses val="autoZero"/>
        <c:crossBetween val="midCat"/>
        <c:majorUnit val="1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968345952070438"/>
                  <c:y val="-0.75663828479275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Calibrated!$M$3:$M$24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15.200483733333332</c:v>
                </c:pt>
                <c:pt idx="2">
                  <c:v>598.11091813333337</c:v>
                </c:pt>
                <c:pt idx="3">
                  <c:v>991.53330480000011</c:v>
                </c:pt>
                <c:pt idx="4">
                  <c:v>1946.5062036333334</c:v>
                </c:pt>
                <c:pt idx="5">
                  <c:v>2157.2093568499999</c:v>
                </c:pt>
                <c:pt idx="6">
                  <c:v>2767.1067361833334</c:v>
                </c:pt>
                <c:pt idx="7">
                  <c:v>3400.9025858499999</c:v>
                </c:pt>
                <c:pt idx="8">
                  <c:v>4272.8989333166664</c:v>
                </c:pt>
                <c:pt idx="9">
                  <c:v>4932.9609141833334</c:v>
                </c:pt>
                <c:pt idx="10">
                  <c:v>5630.039045333333</c:v>
                </c:pt>
                <c:pt idx="11">
                  <c:v>6736.9244520833327</c:v>
                </c:pt>
                <c:pt idx="12">
                  <c:v>7216.515070616666</c:v>
                </c:pt>
                <c:pt idx="13">
                  <c:v>7846.9426689833326</c:v>
                </c:pt>
                <c:pt idx="14">
                  <c:v>8580.9895393833322</c:v>
                </c:pt>
              </c:numCache>
            </c:numRef>
          </c:xVal>
          <c:yVal>
            <c:numRef>
              <c:f>Calibrated!$G$3:$G$24</c:f>
              <c:numCache>
                <c:formatCode>@</c:formatCode>
                <c:ptCount val="22"/>
                <c:pt idx="0">
                  <c:v>-0.17080800000055596</c:v>
                </c:pt>
                <c:pt idx="1">
                  <c:v>-0.19613200000055597</c:v>
                </c:pt>
                <c:pt idx="2">
                  <c:v>-0.82140400000175506</c:v>
                </c:pt>
                <c:pt idx="3">
                  <c:v>-1.1647280000035101</c:v>
                </c:pt>
                <c:pt idx="4">
                  <c:v>-1.5393029999987138</c:v>
                </c:pt>
                <c:pt idx="5">
                  <c:v>-1.72772000000351</c:v>
                </c:pt>
                <c:pt idx="6">
                  <c:v>-3.5709730000070201</c:v>
                </c:pt>
                <c:pt idx="7">
                  <c:v>-4.3214149999991829</c:v>
                </c:pt>
                <c:pt idx="8">
                  <c:v>-5.1025750000003383</c:v>
                </c:pt>
                <c:pt idx="9">
                  <c:v>-5.8212930000009377</c:v>
                </c:pt>
                <c:pt idx="10">
                  <c:v>-6.5089789999978969</c:v>
                </c:pt>
                <c:pt idx="11">
                  <c:v>-7.6336229999948557</c:v>
                </c:pt>
                <c:pt idx="12">
                  <c:v>-8.0711719999990095</c:v>
                </c:pt>
                <c:pt idx="13">
                  <c:v>-8.7273289999918138</c:v>
                </c:pt>
                <c:pt idx="14">
                  <c:v>-9.5394520000001641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22-4EA0-B71A-9FB66F4B0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134192"/>
        <c:axId val="258147632"/>
      </c:scatterChart>
      <c:valAx>
        <c:axId val="25813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147632"/>
        <c:crosses val="autoZero"/>
        <c:crossBetween val="midCat"/>
      </c:valAx>
      <c:valAx>
        <c:axId val="2581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13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195885691612101"/>
                  <c:y val="-0.764806621685025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Calibrated!$M$27:$M$48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668.42499956666666</c:v>
                </c:pt>
                <c:pt idx="2">
                  <c:v>1027.8952963833333</c:v>
                </c:pt>
                <c:pt idx="3">
                  <c:v>1980.6801912833334</c:v>
                </c:pt>
                <c:pt idx="4">
                  <c:v>2183.8822771</c:v>
                </c:pt>
                <c:pt idx="5">
                  <c:v>2816.3765484999999</c:v>
                </c:pt>
                <c:pt idx="6">
                  <c:v>3474.1354045166663</c:v>
                </c:pt>
                <c:pt idx="7">
                  <c:v>4296.8775941666663</c:v>
                </c:pt>
                <c:pt idx="8">
                  <c:v>4957.5692590166664</c:v>
                </c:pt>
                <c:pt idx="9">
                  <c:v>5674.3281106499999</c:v>
                </c:pt>
                <c:pt idx="10">
                  <c:v>6770.4411358833331</c:v>
                </c:pt>
                <c:pt idx="11">
                  <c:v>7256.1463476666668</c:v>
                </c:pt>
                <c:pt idx="12">
                  <c:v>7857.9890519</c:v>
                </c:pt>
                <c:pt idx="13">
                  <c:v>8633.9135439166675</c:v>
                </c:pt>
              </c:numCache>
            </c:numRef>
          </c:xVal>
          <c:yVal>
            <c:numRef>
              <c:f>Calibrated!$G$27:$G$48</c:f>
              <c:numCache>
                <c:formatCode>@</c:formatCode>
                <c:ptCount val="22"/>
                <c:pt idx="0">
                  <c:v>-0.19622399999995643</c:v>
                </c:pt>
                <c:pt idx="1">
                  <c:v>-0.69616200000655115</c:v>
                </c:pt>
                <c:pt idx="2">
                  <c:v>-0.91473500000655117</c:v>
                </c:pt>
                <c:pt idx="3">
                  <c:v>-1.0083549999987138</c:v>
                </c:pt>
                <c:pt idx="4">
                  <c:v>-1.1331979999939179</c:v>
                </c:pt>
                <c:pt idx="5">
                  <c:v>-2.7895290000000195</c:v>
                </c:pt>
                <c:pt idx="6">
                  <c:v>-3.320824999997428</c:v>
                </c:pt>
                <c:pt idx="7">
                  <c:v>-3.8521559999998258</c:v>
                </c:pt>
                <c:pt idx="8">
                  <c:v>-4.3523689999991833</c:v>
                </c:pt>
                <c:pt idx="9">
                  <c:v>-4.8832900000039787</c:v>
                </c:pt>
                <c:pt idx="10">
                  <c:v>-5.6649670000009378</c:v>
                </c:pt>
                <c:pt idx="11">
                  <c:v>-5.977399000000938</c:v>
                </c:pt>
                <c:pt idx="12">
                  <c:v>-6.5395509999978971</c:v>
                </c:pt>
                <c:pt idx="13">
                  <c:v>-7.0087999999996518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9C-4AFF-AC06-AF01DB50E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69696"/>
        <c:axId val="35262496"/>
      </c:scatterChart>
      <c:valAx>
        <c:axId val="3526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62496"/>
        <c:crosses val="autoZero"/>
        <c:crossBetween val="midCat"/>
      </c:valAx>
      <c:valAx>
        <c:axId val="3526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6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2681769844617876"/>
                  <c:y val="-0.764713558804043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Calibrated!$M$51:$M$72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687.25884858333347</c:v>
                </c:pt>
                <c:pt idx="2">
                  <c:v>1044.3625004333335</c:v>
                </c:pt>
                <c:pt idx="3">
                  <c:v>1995.9640552666667</c:v>
                </c:pt>
                <c:pt idx="4">
                  <c:v>2222.4333483333335</c:v>
                </c:pt>
                <c:pt idx="5">
                  <c:v>2823.3270818000001</c:v>
                </c:pt>
                <c:pt idx="6">
                  <c:v>3450.8015675500001</c:v>
                </c:pt>
                <c:pt idx="7">
                  <c:v>4312.0275975499999</c:v>
                </c:pt>
                <c:pt idx="8">
                  <c:v>4992.6859394499998</c:v>
                </c:pt>
                <c:pt idx="9">
                  <c:v>5683.7942627666662</c:v>
                </c:pt>
                <c:pt idx="10">
                  <c:v>6791.5578069666662</c:v>
                </c:pt>
                <c:pt idx="11">
                  <c:v>7254.4458352333331</c:v>
                </c:pt>
                <c:pt idx="12">
                  <c:v>7874.4369767333337</c:v>
                </c:pt>
                <c:pt idx="13">
                  <c:v>8639.1114776499999</c:v>
                </c:pt>
              </c:numCache>
            </c:numRef>
          </c:xVal>
          <c:yVal>
            <c:numRef>
              <c:f>Calibrated!$G$51:$G$72</c:f>
              <c:numCache>
                <c:formatCode>@</c:formatCode>
                <c:ptCount val="22"/>
                <c:pt idx="0">
                  <c:v>-0.32143299999995645</c:v>
                </c:pt>
                <c:pt idx="1">
                  <c:v>-0.85201500000655117</c:v>
                </c:pt>
                <c:pt idx="2">
                  <c:v>-1.07124600000351</c:v>
                </c:pt>
                <c:pt idx="3">
                  <c:v>-1.1646249999987139</c:v>
                </c:pt>
                <c:pt idx="4">
                  <c:v>-1.3214539999939179</c:v>
                </c:pt>
                <c:pt idx="5">
                  <c:v>-2.9460939999999818</c:v>
                </c:pt>
                <c:pt idx="6">
                  <c:v>-3.4149890000022243</c:v>
                </c:pt>
                <c:pt idx="7">
                  <c:v>-3.9774630000004256</c:v>
                </c:pt>
                <c:pt idx="8">
                  <c:v>-4.4775249999943867</c:v>
                </c:pt>
                <c:pt idx="9">
                  <c:v>-4.9769880000039795</c:v>
                </c:pt>
                <c:pt idx="10">
                  <c:v>-5.789721000000938</c:v>
                </c:pt>
                <c:pt idx="11">
                  <c:v>-6.0712479999990956</c:v>
                </c:pt>
                <c:pt idx="12">
                  <c:v>-6.5396599999978964</c:v>
                </c:pt>
                <c:pt idx="13">
                  <c:v>-7.0096610000002526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A7-4F14-B259-6E5CD49B7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453968"/>
        <c:axId val="1952457808"/>
      </c:scatterChart>
      <c:valAx>
        <c:axId val="195245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57808"/>
        <c:crosses val="autoZero"/>
        <c:crossBetween val="midCat"/>
      </c:valAx>
      <c:valAx>
        <c:axId val="19524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5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072757727639439"/>
                  <c:y val="-0.612519068711815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Calibrated!$M$75:$M$96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627.95104430000004</c:v>
                </c:pt>
                <c:pt idx="2">
                  <c:v>1032.0176977666667</c:v>
                </c:pt>
                <c:pt idx="3">
                  <c:v>1982.8922031500001</c:v>
                </c:pt>
                <c:pt idx="4">
                  <c:v>2210.4093770499999</c:v>
                </c:pt>
                <c:pt idx="5">
                  <c:v>2808.6796841</c:v>
                </c:pt>
                <c:pt idx="6">
                  <c:v>3481.3979131999999</c:v>
                </c:pt>
                <c:pt idx="7">
                  <c:v>4307.3812528500002</c:v>
                </c:pt>
                <c:pt idx="8">
                  <c:v>4943.4338543333333</c:v>
                </c:pt>
                <c:pt idx="9">
                  <c:v>5665.1010327166669</c:v>
                </c:pt>
                <c:pt idx="10">
                  <c:v>6776.9531150500006</c:v>
                </c:pt>
                <c:pt idx="11">
                  <c:v>7246.4192621666671</c:v>
                </c:pt>
                <c:pt idx="12">
                  <c:v>7871.3536512333339</c:v>
                </c:pt>
                <c:pt idx="13">
                  <c:v>8610.136462800001</c:v>
                </c:pt>
              </c:numCache>
            </c:numRef>
          </c:xVal>
          <c:yVal>
            <c:numRef>
              <c:f>Calibrated!$G$75:$G$96</c:f>
              <c:numCache>
                <c:formatCode>@</c:formatCode>
                <c:ptCount val="22"/>
                <c:pt idx="0">
                  <c:v>-0.78960299999995653</c:v>
                </c:pt>
                <c:pt idx="1">
                  <c:v>-0.85228499999695884</c:v>
                </c:pt>
                <c:pt idx="2">
                  <c:v>-0.85177699999695888</c:v>
                </c:pt>
                <c:pt idx="3">
                  <c:v>-0.32161000000175499</c:v>
                </c:pt>
                <c:pt idx="4">
                  <c:v>-0.35261399999695886</c:v>
                </c:pt>
                <c:pt idx="5">
                  <c:v>-1.5706829999999881</c:v>
                </c:pt>
                <c:pt idx="6">
                  <c:v>-1.6647369999987141</c:v>
                </c:pt>
                <c:pt idx="7">
                  <c:v>-1.6649419999999129</c:v>
                </c:pt>
                <c:pt idx="8">
                  <c:v>-1.8208830000035101</c:v>
                </c:pt>
                <c:pt idx="9">
                  <c:v>-1.85198000000351</c:v>
                </c:pt>
                <c:pt idx="10">
                  <c:v>-1.9770090000035101</c:v>
                </c:pt>
                <c:pt idx="11">
                  <c:v>-1.945582999999913</c:v>
                </c:pt>
                <c:pt idx="12">
                  <c:v>-2.0084570000004689</c:v>
                </c:pt>
                <c:pt idx="13">
                  <c:v>-1.977262999999913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27-43ED-8CE2-62C36AA2E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420096"/>
        <c:axId val="2071421536"/>
      </c:scatterChart>
      <c:valAx>
        <c:axId val="207142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421536"/>
        <c:crosses val="autoZero"/>
        <c:crossBetween val="midCat"/>
      </c:valAx>
      <c:valAx>
        <c:axId val="207142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42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620419982315568"/>
                  <c:y val="-0.193108943419199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Calibrated!$M$99:$M$120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662.11925403333339</c:v>
                </c:pt>
                <c:pt idx="2">
                  <c:v>1030.1604046666666</c:v>
                </c:pt>
                <c:pt idx="3">
                  <c:v>1985.5297059499999</c:v>
                </c:pt>
                <c:pt idx="4">
                  <c:v>2198.04218425</c:v>
                </c:pt>
                <c:pt idx="5">
                  <c:v>2785.7333427833337</c:v>
                </c:pt>
                <c:pt idx="6">
                  <c:v>3474.2864530500001</c:v>
                </c:pt>
                <c:pt idx="7">
                  <c:v>4300.0338458666665</c:v>
                </c:pt>
                <c:pt idx="8">
                  <c:v>4950.9708269166667</c:v>
                </c:pt>
                <c:pt idx="9">
                  <c:v>5656.2724015499998</c:v>
                </c:pt>
                <c:pt idx="10">
                  <c:v>6774.3500413000002</c:v>
                </c:pt>
                <c:pt idx="11">
                  <c:v>7236.0062596833341</c:v>
                </c:pt>
                <c:pt idx="12">
                  <c:v>7861.1765557000008</c:v>
                </c:pt>
                <c:pt idx="13">
                  <c:v>8614.7760365833346</c:v>
                </c:pt>
              </c:numCache>
            </c:numRef>
          </c:xVal>
          <c:yVal>
            <c:numRef>
              <c:f>Calibrated!$G$99:$G$120</c:f>
              <c:numCache>
                <c:formatCode>@</c:formatCode>
                <c:ptCount val="22"/>
                <c:pt idx="0">
                  <c:v>-0.38371200000055605</c:v>
                </c:pt>
                <c:pt idx="1">
                  <c:v>0.46064899999999998</c:v>
                </c:pt>
                <c:pt idx="2">
                  <c:v>0.99110699999999996</c:v>
                </c:pt>
                <c:pt idx="3">
                  <c:v>2.8336079999987138</c:v>
                </c:pt>
                <c:pt idx="4">
                  <c:v>3.0847900000004689</c:v>
                </c:pt>
                <c:pt idx="5">
                  <c:v>2.615997999993918</c:v>
                </c:pt>
                <c:pt idx="6">
                  <c:v>3.4286580000004689</c:v>
                </c:pt>
                <c:pt idx="7">
                  <c:v>4.5851399999998259</c:v>
                </c:pt>
                <c:pt idx="8">
                  <c:v>5.366339999999183</c:v>
                </c:pt>
                <c:pt idx="9">
                  <c:v>6.272336000000938</c:v>
                </c:pt>
                <c:pt idx="10">
                  <c:v>7.6146979999978965</c:v>
                </c:pt>
                <c:pt idx="11">
                  <c:v>8.2409919999996522</c:v>
                </c:pt>
                <c:pt idx="12">
                  <c:v>9.0227509999918141</c:v>
                </c:pt>
                <c:pt idx="13">
                  <c:v>10.053995999999565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6C-4C70-972B-D2F49CFDD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72096"/>
        <c:axId val="35278816"/>
      </c:scatterChart>
      <c:valAx>
        <c:axId val="3527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8816"/>
        <c:crosses val="autoZero"/>
        <c:crossBetween val="midCat"/>
      </c:valAx>
      <c:valAx>
        <c:axId val="352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899573876080177"/>
                  <c:y val="-0.21387019236081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Calibrated!$M$123:$M$144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659.56250843333328</c:v>
                </c:pt>
                <c:pt idx="2">
                  <c:v>1025.8005268666666</c:v>
                </c:pt>
                <c:pt idx="3">
                  <c:v>1972.7437513499999</c:v>
                </c:pt>
                <c:pt idx="4">
                  <c:v>2194.7192620166666</c:v>
                </c:pt>
                <c:pt idx="5">
                  <c:v>2783.7703147833331</c:v>
                </c:pt>
                <c:pt idx="6">
                  <c:v>3418.4500077833331</c:v>
                </c:pt>
                <c:pt idx="7">
                  <c:v>4289.0869910166666</c:v>
                </c:pt>
                <c:pt idx="8">
                  <c:v>4959.9489670166668</c:v>
                </c:pt>
                <c:pt idx="9">
                  <c:v>5649.8593705166668</c:v>
                </c:pt>
                <c:pt idx="10">
                  <c:v>6770.4729184000007</c:v>
                </c:pt>
                <c:pt idx="11">
                  <c:v>7235.7400996666674</c:v>
                </c:pt>
                <c:pt idx="12">
                  <c:v>7842.704168733334</c:v>
                </c:pt>
                <c:pt idx="13">
                  <c:v>8611.1619718833335</c:v>
                </c:pt>
              </c:numCache>
            </c:numRef>
          </c:xVal>
          <c:yVal>
            <c:numRef>
              <c:f>Calibrated!$G$123:$G$144</c:f>
              <c:numCache>
                <c:formatCode>@</c:formatCode>
                <c:ptCount val="22"/>
                <c:pt idx="0">
                  <c:v>-0.8835189999993569</c:v>
                </c:pt>
                <c:pt idx="1">
                  <c:v>0.36622100000000002</c:v>
                </c:pt>
                <c:pt idx="2">
                  <c:v>1.0850699999969589</c:v>
                </c:pt>
                <c:pt idx="3">
                  <c:v>3.4912970000004688</c:v>
                </c:pt>
                <c:pt idx="4">
                  <c:v>3.9602620000004691</c:v>
                </c:pt>
                <c:pt idx="5">
                  <c:v>3.8976060000004691</c:v>
                </c:pt>
                <c:pt idx="6">
                  <c:v>5.1161129999991832</c:v>
                </c:pt>
                <c:pt idx="7">
                  <c:v>6.8972460000003384</c:v>
                </c:pt>
                <c:pt idx="8">
                  <c:v>8.1786659999948554</c:v>
                </c:pt>
                <c:pt idx="9">
                  <c:v>9.5541629999918136</c:v>
                </c:pt>
                <c:pt idx="10">
                  <c:v>11.741315000004917</c:v>
                </c:pt>
                <c:pt idx="11">
                  <c:v>12.710312999999477</c:v>
                </c:pt>
                <c:pt idx="12">
                  <c:v>13.866169000008426</c:v>
                </c:pt>
                <c:pt idx="13">
                  <c:v>15.397755999999946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38-47A9-AA65-C561B76DB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155312"/>
        <c:axId val="258144272"/>
      </c:scatterChart>
      <c:valAx>
        <c:axId val="25815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144272"/>
        <c:crosses val="autoZero"/>
        <c:crossBetween val="midCat"/>
      </c:valAx>
      <c:valAx>
        <c:axId val="2581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15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4314048461836972"/>
                  <c:y val="-0.288210218518114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Calibrated!$M$147:$M$168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72.966150116666668</c:v>
                </c:pt>
                <c:pt idx="2">
                  <c:v>381.41355290000007</c:v>
                </c:pt>
                <c:pt idx="3">
                  <c:v>1333.1140650833333</c:v>
                </c:pt>
                <c:pt idx="4">
                  <c:v>1530.6130276333333</c:v>
                </c:pt>
                <c:pt idx="5">
                  <c:v>2140.4786399666664</c:v>
                </c:pt>
                <c:pt idx="6">
                  <c:v>2811.8239669666664</c:v>
                </c:pt>
                <c:pt idx="7">
                  <c:v>3637.2838702999998</c:v>
                </c:pt>
                <c:pt idx="8">
                  <c:v>4309.9297014666663</c:v>
                </c:pt>
                <c:pt idx="9">
                  <c:v>4999.0583484499994</c:v>
                </c:pt>
                <c:pt idx="10">
                  <c:v>6110.2343864499999</c:v>
                </c:pt>
                <c:pt idx="11">
                  <c:v>6574.4468795666662</c:v>
                </c:pt>
                <c:pt idx="12">
                  <c:v>7203.1260365166663</c:v>
                </c:pt>
                <c:pt idx="13">
                  <c:v>7966.9526015166666</c:v>
                </c:pt>
              </c:numCache>
            </c:numRef>
          </c:xVal>
          <c:yVal>
            <c:numRef>
              <c:f>Calibrated!$G$147:$G$168</c:f>
              <c:numCache>
                <c:formatCode>@</c:formatCode>
                <c:ptCount val="22"/>
                <c:pt idx="0">
                  <c:v>-0.22702999999695883</c:v>
                </c:pt>
                <c:pt idx="1">
                  <c:v>-0.1957669999969589</c:v>
                </c:pt>
                <c:pt idx="2">
                  <c:v>-3.9946000006551241E-2</c:v>
                </c:pt>
                <c:pt idx="3">
                  <c:v>0.92923500000000003</c:v>
                </c:pt>
                <c:pt idx="4">
                  <c:v>0.99143000000000003</c:v>
                </c:pt>
                <c:pt idx="5">
                  <c:v>5.3998999999999998E-2</c:v>
                </c:pt>
                <c:pt idx="6">
                  <c:v>0.33532499999999998</c:v>
                </c:pt>
                <c:pt idx="7">
                  <c:v>0.74127799999999999</c:v>
                </c:pt>
                <c:pt idx="8">
                  <c:v>0.99128799999999995</c:v>
                </c:pt>
                <c:pt idx="9">
                  <c:v>1.2724490000065511</c:v>
                </c:pt>
                <c:pt idx="10">
                  <c:v>1.7101719999969589</c:v>
                </c:pt>
                <c:pt idx="11">
                  <c:v>1.9603219999993571</c:v>
                </c:pt>
                <c:pt idx="12">
                  <c:v>2.2106449999939177</c:v>
                </c:pt>
                <c:pt idx="13">
                  <c:v>2.616710999999913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9B-4ACA-8307-871ADEB3B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875952"/>
        <c:axId val="1952453008"/>
      </c:scatterChart>
      <c:valAx>
        <c:axId val="196487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53008"/>
        <c:crosses val="autoZero"/>
        <c:crossBetween val="midCat"/>
      </c:valAx>
      <c:valAx>
        <c:axId val="195245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87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4352295359468383"/>
                  <c:y val="-0.74313907743171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Calibrated!$M$171:$M$192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934.95727754999996</c:v>
                </c:pt>
                <c:pt idx="2">
                  <c:v>1137.0280850666666</c:v>
                </c:pt>
                <c:pt idx="3">
                  <c:v>1741.3421542666665</c:v>
                </c:pt>
                <c:pt idx="4">
                  <c:v>2413.6046490666668</c:v>
                </c:pt>
                <c:pt idx="5">
                  <c:v>3224.3353773500003</c:v>
                </c:pt>
                <c:pt idx="6">
                  <c:v>3887.4645471666668</c:v>
                </c:pt>
                <c:pt idx="7">
                  <c:v>4610.4780921333331</c:v>
                </c:pt>
                <c:pt idx="8">
                  <c:v>5720.0489239666667</c:v>
                </c:pt>
                <c:pt idx="9">
                  <c:v>6167.0921646833331</c:v>
                </c:pt>
                <c:pt idx="10">
                  <c:v>6807.1202782</c:v>
                </c:pt>
                <c:pt idx="11">
                  <c:v>7553.7822666166667</c:v>
                </c:pt>
              </c:numCache>
            </c:numRef>
          </c:xVal>
          <c:yVal>
            <c:numRef>
              <c:f>Calibrated!$G$171:$G$192</c:f>
              <c:numCache>
                <c:formatCode>@</c:formatCode>
                <c:ptCount val="22"/>
                <c:pt idx="0">
                  <c:v>-0.85362000000655125</c:v>
                </c:pt>
                <c:pt idx="1">
                  <c:v>-1.2904619999987139</c:v>
                </c:pt>
                <c:pt idx="2">
                  <c:v>-1.5396540000035102</c:v>
                </c:pt>
                <c:pt idx="3">
                  <c:v>-3.3834660000000132</c:v>
                </c:pt>
                <c:pt idx="4">
                  <c:v>-4.1333619999991829</c:v>
                </c:pt>
                <c:pt idx="5">
                  <c:v>-4.9772370000000814</c:v>
                </c:pt>
                <c:pt idx="6">
                  <c:v>-5.7270480000009378</c:v>
                </c:pt>
                <c:pt idx="7">
                  <c:v>-6.539727999997897</c:v>
                </c:pt>
                <c:pt idx="8">
                  <c:v>-7.7898940000044483</c:v>
                </c:pt>
                <c:pt idx="9">
                  <c:v>-8.3842330000002079</c:v>
                </c:pt>
                <c:pt idx="10">
                  <c:v>-9.071110000007959</c:v>
                </c:pt>
                <c:pt idx="11">
                  <c:v>-9.7903639999995651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70-4631-A4BD-D9B9B2920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454448"/>
        <c:axId val="1952458288"/>
      </c:scatterChart>
      <c:valAx>
        <c:axId val="195245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58288"/>
        <c:crosses val="autoZero"/>
        <c:crossBetween val="midCat"/>
      </c:valAx>
      <c:valAx>
        <c:axId val="19524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5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drift vs Time (all)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#2 Time drift vs Time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Calibrated!$M$3:$M$24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15.200483733333332</c:v>
                </c:pt>
                <c:pt idx="2">
                  <c:v>598.11091813333337</c:v>
                </c:pt>
                <c:pt idx="3">
                  <c:v>991.53330480000011</c:v>
                </c:pt>
                <c:pt idx="4">
                  <c:v>1946.5062036333334</c:v>
                </c:pt>
                <c:pt idx="5">
                  <c:v>2157.2093568499999</c:v>
                </c:pt>
                <c:pt idx="6">
                  <c:v>2767.1067361833334</c:v>
                </c:pt>
                <c:pt idx="7">
                  <c:v>3400.9025858499999</c:v>
                </c:pt>
                <c:pt idx="8">
                  <c:v>4272.8989333166664</c:v>
                </c:pt>
                <c:pt idx="9">
                  <c:v>4932.9609141833334</c:v>
                </c:pt>
                <c:pt idx="10">
                  <c:v>5630.039045333333</c:v>
                </c:pt>
                <c:pt idx="11">
                  <c:v>6736.9244520833327</c:v>
                </c:pt>
                <c:pt idx="12">
                  <c:v>7216.515070616666</c:v>
                </c:pt>
                <c:pt idx="13">
                  <c:v>7846.9426689833326</c:v>
                </c:pt>
                <c:pt idx="14">
                  <c:v>8580.9895393833322</c:v>
                </c:pt>
              </c:numCache>
            </c:numRef>
          </c:xVal>
          <c:yVal>
            <c:numRef>
              <c:f>Calibrated!$G$3:$G$24</c:f>
              <c:numCache>
                <c:formatCode>@</c:formatCode>
                <c:ptCount val="22"/>
                <c:pt idx="0">
                  <c:v>-0.17080800000055596</c:v>
                </c:pt>
                <c:pt idx="1">
                  <c:v>-0.19613200000055597</c:v>
                </c:pt>
                <c:pt idx="2">
                  <c:v>-0.82140400000175506</c:v>
                </c:pt>
                <c:pt idx="3">
                  <c:v>-1.1647280000035101</c:v>
                </c:pt>
                <c:pt idx="4">
                  <c:v>-1.5393029999987138</c:v>
                </c:pt>
                <c:pt idx="5">
                  <c:v>-1.72772000000351</c:v>
                </c:pt>
                <c:pt idx="6">
                  <c:v>-3.5709730000070201</c:v>
                </c:pt>
                <c:pt idx="7">
                  <c:v>-4.3214149999991829</c:v>
                </c:pt>
                <c:pt idx="8">
                  <c:v>-5.1025750000003383</c:v>
                </c:pt>
                <c:pt idx="9">
                  <c:v>-5.8212930000009377</c:v>
                </c:pt>
                <c:pt idx="10">
                  <c:v>-6.5089789999978969</c:v>
                </c:pt>
                <c:pt idx="11">
                  <c:v>-7.6336229999948557</c:v>
                </c:pt>
                <c:pt idx="12">
                  <c:v>-8.0711719999990095</c:v>
                </c:pt>
                <c:pt idx="13">
                  <c:v>-8.7273289999918138</c:v>
                </c:pt>
                <c:pt idx="14">
                  <c:v>-9.5394520000001641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E0-4332-8183-157294E40AA1}"/>
            </c:ext>
          </c:extLst>
        </c:ser>
        <c:ser>
          <c:idx val="1"/>
          <c:order val="1"/>
          <c:tx>
            <c:v>#3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Calibrated!$M$27:$M$48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668.42499956666666</c:v>
                </c:pt>
                <c:pt idx="2">
                  <c:v>1027.8952963833333</c:v>
                </c:pt>
                <c:pt idx="3">
                  <c:v>1980.6801912833334</c:v>
                </c:pt>
                <c:pt idx="4">
                  <c:v>2183.8822771</c:v>
                </c:pt>
                <c:pt idx="5">
                  <c:v>2816.3765484999999</c:v>
                </c:pt>
                <c:pt idx="6">
                  <c:v>3474.1354045166663</c:v>
                </c:pt>
                <c:pt idx="7">
                  <c:v>4296.8775941666663</c:v>
                </c:pt>
                <c:pt idx="8">
                  <c:v>4957.5692590166664</c:v>
                </c:pt>
                <c:pt idx="9">
                  <c:v>5674.3281106499999</c:v>
                </c:pt>
                <c:pt idx="10">
                  <c:v>6770.4411358833331</c:v>
                </c:pt>
                <c:pt idx="11">
                  <c:v>7256.1463476666668</c:v>
                </c:pt>
                <c:pt idx="12">
                  <c:v>7857.9890519</c:v>
                </c:pt>
                <c:pt idx="13">
                  <c:v>8633.9135439166675</c:v>
                </c:pt>
              </c:numCache>
            </c:numRef>
          </c:xVal>
          <c:yVal>
            <c:numRef>
              <c:f>Calibrated!$G$27:$G$48</c:f>
              <c:numCache>
                <c:formatCode>@</c:formatCode>
                <c:ptCount val="22"/>
                <c:pt idx="0">
                  <c:v>-0.19622399999995643</c:v>
                </c:pt>
                <c:pt idx="1">
                  <c:v>-0.69616200000655115</c:v>
                </c:pt>
                <c:pt idx="2">
                  <c:v>-0.91473500000655117</c:v>
                </c:pt>
                <c:pt idx="3">
                  <c:v>-1.0083549999987138</c:v>
                </c:pt>
                <c:pt idx="4">
                  <c:v>-1.1331979999939179</c:v>
                </c:pt>
                <c:pt idx="5">
                  <c:v>-2.7895290000000195</c:v>
                </c:pt>
                <c:pt idx="6">
                  <c:v>-3.320824999997428</c:v>
                </c:pt>
                <c:pt idx="7">
                  <c:v>-3.8521559999998258</c:v>
                </c:pt>
                <c:pt idx="8">
                  <c:v>-4.3523689999991833</c:v>
                </c:pt>
                <c:pt idx="9">
                  <c:v>-4.8832900000039787</c:v>
                </c:pt>
                <c:pt idx="10">
                  <c:v>-5.6649670000009378</c:v>
                </c:pt>
                <c:pt idx="11">
                  <c:v>-5.977399000000938</c:v>
                </c:pt>
                <c:pt idx="12">
                  <c:v>-6.5395509999978971</c:v>
                </c:pt>
                <c:pt idx="13">
                  <c:v>-7.0087999999996518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E0-4332-8183-157294E40AA1}"/>
            </c:ext>
          </c:extLst>
        </c:ser>
        <c:ser>
          <c:idx val="2"/>
          <c:order val="2"/>
          <c:tx>
            <c:v>#4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Calibrated!$M$51:$M$72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687.25884858333347</c:v>
                </c:pt>
                <c:pt idx="2">
                  <c:v>1044.3625004333335</c:v>
                </c:pt>
                <c:pt idx="3">
                  <c:v>1995.9640552666667</c:v>
                </c:pt>
                <c:pt idx="4">
                  <c:v>2222.4333483333335</c:v>
                </c:pt>
                <c:pt idx="5">
                  <c:v>2823.3270818000001</c:v>
                </c:pt>
                <c:pt idx="6">
                  <c:v>3450.8015675500001</c:v>
                </c:pt>
                <c:pt idx="7">
                  <c:v>4312.0275975499999</c:v>
                </c:pt>
                <c:pt idx="8">
                  <c:v>4992.6859394499998</c:v>
                </c:pt>
                <c:pt idx="9">
                  <c:v>5683.7942627666662</c:v>
                </c:pt>
                <c:pt idx="10">
                  <c:v>6791.5578069666662</c:v>
                </c:pt>
                <c:pt idx="11">
                  <c:v>7254.4458352333331</c:v>
                </c:pt>
                <c:pt idx="12">
                  <c:v>7874.4369767333337</c:v>
                </c:pt>
                <c:pt idx="13">
                  <c:v>8639.1114776499999</c:v>
                </c:pt>
              </c:numCache>
            </c:numRef>
          </c:xVal>
          <c:yVal>
            <c:numRef>
              <c:f>Calibrated!$G$51:$G$72</c:f>
              <c:numCache>
                <c:formatCode>@</c:formatCode>
                <c:ptCount val="22"/>
                <c:pt idx="0">
                  <c:v>-0.32143299999995645</c:v>
                </c:pt>
                <c:pt idx="1">
                  <c:v>-0.85201500000655117</c:v>
                </c:pt>
                <c:pt idx="2">
                  <c:v>-1.07124600000351</c:v>
                </c:pt>
                <c:pt idx="3">
                  <c:v>-1.1646249999987139</c:v>
                </c:pt>
                <c:pt idx="4">
                  <c:v>-1.3214539999939179</c:v>
                </c:pt>
                <c:pt idx="5">
                  <c:v>-2.9460939999999818</c:v>
                </c:pt>
                <c:pt idx="6">
                  <c:v>-3.4149890000022243</c:v>
                </c:pt>
                <c:pt idx="7">
                  <c:v>-3.9774630000004256</c:v>
                </c:pt>
                <c:pt idx="8">
                  <c:v>-4.4775249999943867</c:v>
                </c:pt>
                <c:pt idx="9">
                  <c:v>-4.9769880000039795</c:v>
                </c:pt>
                <c:pt idx="10">
                  <c:v>-5.789721000000938</c:v>
                </c:pt>
                <c:pt idx="11">
                  <c:v>-6.0712479999990956</c:v>
                </c:pt>
                <c:pt idx="12">
                  <c:v>-6.5396599999978964</c:v>
                </c:pt>
                <c:pt idx="13">
                  <c:v>-7.0096610000002526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E0-4332-8183-157294E40AA1}"/>
            </c:ext>
          </c:extLst>
        </c:ser>
        <c:ser>
          <c:idx val="3"/>
          <c:order val="3"/>
          <c:tx>
            <c:v>#5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Calibrated!$M$75:$M$96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627.95104430000004</c:v>
                </c:pt>
                <c:pt idx="2">
                  <c:v>1032.0176977666667</c:v>
                </c:pt>
                <c:pt idx="3">
                  <c:v>1982.8922031500001</c:v>
                </c:pt>
                <c:pt idx="4">
                  <c:v>2210.4093770499999</c:v>
                </c:pt>
                <c:pt idx="5">
                  <c:v>2808.6796841</c:v>
                </c:pt>
                <c:pt idx="6">
                  <c:v>3481.3979131999999</c:v>
                </c:pt>
                <c:pt idx="7">
                  <c:v>4307.3812528500002</c:v>
                </c:pt>
                <c:pt idx="8">
                  <c:v>4943.4338543333333</c:v>
                </c:pt>
                <c:pt idx="9">
                  <c:v>5665.1010327166669</c:v>
                </c:pt>
                <c:pt idx="10">
                  <c:v>6776.9531150500006</c:v>
                </c:pt>
                <c:pt idx="11">
                  <c:v>7246.4192621666671</c:v>
                </c:pt>
                <c:pt idx="12">
                  <c:v>7871.3536512333339</c:v>
                </c:pt>
                <c:pt idx="13">
                  <c:v>8610.136462800001</c:v>
                </c:pt>
              </c:numCache>
            </c:numRef>
          </c:xVal>
          <c:yVal>
            <c:numRef>
              <c:f>Calibrated!$G$75:$G$96</c:f>
              <c:numCache>
                <c:formatCode>@</c:formatCode>
                <c:ptCount val="22"/>
                <c:pt idx="0">
                  <c:v>-0.78960299999995653</c:v>
                </c:pt>
                <c:pt idx="1">
                  <c:v>-0.85228499999695884</c:v>
                </c:pt>
                <c:pt idx="2">
                  <c:v>-0.85177699999695888</c:v>
                </c:pt>
                <c:pt idx="3">
                  <c:v>-0.32161000000175499</c:v>
                </c:pt>
                <c:pt idx="4">
                  <c:v>-0.35261399999695886</c:v>
                </c:pt>
                <c:pt idx="5">
                  <c:v>-1.5706829999999881</c:v>
                </c:pt>
                <c:pt idx="6">
                  <c:v>-1.6647369999987141</c:v>
                </c:pt>
                <c:pt idx="7">
                  <c:v>-1.6649419999999129</c:v>
                </c:pt>
                <c:pt idx="8">
                  <c:v>-1.8208830000035101</c:v>
                </c:pt>
                <c:pt idx="9">
                  <c:v>-1.85198000000351</c:v>
                </c:pt>
                <c:pt idx="10">
                  <c:v>-1.9770090000035101</c:v>
                </c:pt>
                <c:pt idx="11">
                  <c:v>-1.945582999999913</c:v>
                </c:pt>
                <c:pt idx="12">
                  <c:v>-2.0084570000004689</c:v>
                </c:pt>
                <c:pt idx="13">
                  <c:v>-1.977262999999913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EE0-4332-8183-157294E40AA1}"/>
            </c:ext>
          </c:extLst>
        </c:ser>
        <c:ser>
          <c:idx val="5"/>
          <c:order val="4"/>
          <c:tx>
            <c:v>#6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Calibrated!$M$99:$M$120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662.11925403333339</c:v>
                </c:pt>
                <c:pt idx="2">
                  <c:v>1030.1604046666666</c:v>
                </c:pt>
                <c:pt idx="3">
                  <c:v>1985.5297059499999</c:v>
                </c:pt>
                <c:pt idx="4">
                  <c:v>2198.04218425</c:v>
                </c:pt>
                <c:pt idx="5">
                  <c:v>2785.7333427833337</c:v>
                </c:pt>
                <c:pt idx="6">
                  <c:v>3474.2864530500001</c:v>
                </c:pt>
                <c:pt idx="7">
                  <c:v>4300.0338458666665</c:v>
                </c:pt>
                <c:pt idx="8">
                  <c:v>4950.9708269166667</c:v>
                </c:pt>
                <c:pt idx="9">
                  <c:v>5656.2724015499998</c:v>
                </c:pt>
                <c:pt idx="10">
                  <c:v>6774.3500413000002</c:v>
                </c:pt>
                <c:pt idx="11">
                  <c:v>7236.0062596833341</c:v>
                </c:pt>
                <c:pt idx="12">
                  <c:v>7861.1765557000008</c:v>
                </c:pt>
                <c:pt idx="13">
                  <c:v>8614.7760365833346</c:v>
                </c:pt>
              </c:numCache>
            </c:numRef>
          </c:xVal>
          <c:yVal>
            <c:numRef>
              <c:f>Calibrated!$G$99:$G$120</c:f>
              <c:numCache>
                <c:formatCode>@</c:formatCode>
                <c:ptCount val="22"/>
                <c:pt idx="0">
                  <c:v>-0.38371200000055605</c:v>
                </c:pt>
                <c:pt idx="1">
                  <c:v>0.46064899999999998</c:v>
                </c:pt>
                <c:pt idx="2">
                  <c:v>0.99110699999999996</c:v>
                </c:pt>
                <c:pt idx="3">
                  <c:v>2.8336079999987138</c:v>
                </c:pt>
                <c:pt idx="4">
                  <c:v>3.0847900000004689</c:v>
                </c:pt>
                <c:pt idx="5">
                  <c:v>2.615997999993918</c:v>
                </c:pt>
                <c:pt idx="6">
                  <c:v>3.4286580000004689</c:v>
                </c:pt>
                <c:pt idx="7">
                  <c:v>4.5851399999998259</c:v>
                </c:pt>
                <c:pt idx="8">
                  <c:v>5.366339999999183</c:v>
                </c:pt>
                <c:pt idx="9">
                  <c:v>6.272336000000938</c:v>
                </c:pt>
                <c:pt idx="10">
                  <c:v>7.6146979999978965</c:v>
                </c:pt>
                <c:pt idx="11">
                  <c:v>8.2409919999996522</c:v>
                </c:pt>
                <c:pt idx="12">
                  <c:v>9.0227509999918141</c:v>
                </c:pt>
                <c:pt idx="13">
                  <c:v>10.053995999999565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EE0-4332-8183-157294E40AA1}"/>
            </c:ext>
          </c:extLst>
        </c:ser>
        <c:ser>
          <c:idx val="6"/>
          <c:order val="5"/>
          <c:tx>
            <c:v>#7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Calibrated!$M$123:$M$144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659.56250843333328</c:v>
                </c:pt>
                <c:pt idx="2">
                  <c:v>1025.8005268666666</c:v>
                </c:pt>
                <c:pt idx="3">
                  <c:v>1972.7437513499999</c:v>
                </c:pt>
                <c:pt idx="4">
                  <c:v>2194.7192620166666</c:v>
                </c:pt>
                <c:pt idx="5">
                  <c:v>2783.7703147833331</c:v>
                </c:pt>
                <c:pt idx="6">
                  <c:v>3418.4500077833331</c:v>
                </c:pt>
                <c:pt idx="7">
                  <c:v>4289.0869910166666</c:v>
                </c:pt>
                <c:pt idx="8">
                  <c:v>4959.9489670166668</c:v>
                </c:pt>
                <c:pt idx="9">
                  <c:v>5649.8593705166668</c:v>
                </c:pt>
                <c:pt idx="10">
                  <c:v>6770.4729184000007</c:v>
                </c:pt>
                <c:pt idx="11">
                  <c:v>7235.7400996666674</c:v>
                </c:pt>
                <c:pt idx="12">
                  <c:v>7842.704168733334</c:v>
                </c:pt>
                <c:pt idx="13">
                  <c:v>8611.1619718833335</c:v>
                </c:pt>
              </c:numCache>
            </c:numRef>
          </c:xVal>
          <c:yVal>
            <c:numRef>
              <c:f>Calibrated!$G$123:$G$144</c:f>
              <c:numCache>
                <c:formatCode>@</c:formatCode>
                <c:ptCount val="22"/>
                <c:pt idx="0">
                  <c:v>-0.8835189999993569</c:v>
                </c:pt>
                <c:pt idx="1">
                  <c:v>0.36622100000000002</c:v>
                </c:pt>
                <c:pt idx="2">
                  <c:v>1.0850699999969589</c:v>
                </c:pt>
                <c:pt idx="3">
                  <c:v>3.4912970000004688</c:v>
                </c:pt>
                <c:pt idx="4">
                  <c:v>3.9602620000004691</c:v>
                </c:pt>
                <c:pt idx="5">
                  <c:v>3.8976060000004691</c:v>
                </c:pt>
                <c:pt idx="6">
                  <c:v>5.1161129999991832</c:v>
                </c:pt>
                <c:pt idx="7">
                  <c:v>6.8972460000003384</c:v>
                </c:pt>
                <c:pt idx="8">
                  <c:v>8.1786659999948554</c:v>
                </c:pt>
                <c:pt idx="9">
                  <c:v>9.5541629999918136</c:v>
                </c:pt>
                <c:pt idx="10">
                  <c:v>11.741315000004917</c:v>
                </c:pt>
                <c:pt idx="11">
                  <c:v>12.710312999999477</c:v>
                </c:pt>
                <c:pt idx="12">
                  <c:v>13.866169000008426</c:v>
                </c:pt>
                <c:pt idx="13">
                  <c:v>15.397755999999946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EE0-4332-8183-157294E40AA1}"/>
            </c:ext>
          </c:extLst>
        </c:ser>
        <c:ser>
          <c:idx val="7"/>
          <c:order val="6"/>
          <c:tx>
            <c:v>#8 Time drfit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Calibrated!$M$147:$M$168</c:f>
              <c:numCache>
                <c:formatCode>@</c:formatCode>
                <c:ptCount val="22"/>
                <c:pt idx="0" formatCode="General">
                  <c:v>0</c:v>
                </c:pt>
                <c:pt idx="1">
                  <c:v>72.966150116666668</c:v>
                </c:pt>
                <c:pt idx="2">
                  <c:v>381.41355290000007</c:v>
                </c:pt>
                <c:pt idx="3">
                  <c:v>1333.1140650833333</c:v>
                </c:pt>
                <c:pt idx="4">
                  <c:v>1530.6130276333333</c:v>
                </c:pt>
                <c:pt idx="5">
                  <c:v>2140.4786399666664</c:v>
                </c:pt>
                <c:pt idx="6">
                  <c:v>2811.8239669666664</c:v>
                </c:pt>
                <c:pt idx="7">
                  <c:v>3637.2838702999998</c:v>
                </c:pt>
                <c:pt idx="8">
                  <c:v>4309.9297014666663</c:v>
                </c:pt>
                <c:pt idx="9">
                  <c:v>4999.0583484499994</c:v>
                </c:pt>
                <c:pt idx="10">
                  <c:v>6110.2343864499999</c:v>
                </c:pt>
                <c:pt idx="11">
                  <c:v>6574.4468795666662</c:v>
                </c:pt>
                <c:pt idx="12">
                  <c:v>7203.1260365166663</c:v>
                </c:pt>
                <c:pt idx="13">
                  <c:v>7966.9526015166666</c:v>
                </c:pt>
              </c:numCache>
            </c:numRef>
          </c:xVal>
          <c:yVal>
            <c:numRef>
              <c:f>Calibrated!$G$147:$G$168</c:f>
              <c:numCache>
                <c:formatCode>@</c:formatCode>
                <c:ptCount val="22"/>
                <c:pt idx="0">
                  <c:v>-0.22702999999695883</c:v>
                </c:pt>
                <c:pt idx="1">
                  <c:v>-0.1957669999969589</c:v>
                </c:pt>
                <c:pt idx="2">
                  <c:v>-3.9946000006551241E-2</c:v>
                </c:pt>
                <c:pt idx="3">
                  <c:v>0.92923500000000003</c:v>
                </c:pt>
                <c:pt idx="4">
                  <c:v>0.99143000000000003</c:v>
                </c:pt>
                <c:pt idx="5">
                  <c:v>5.3998999999999998E-2</c:v>
                </c:pt>
                <c:pt idx="6">
                  <c:v>0.33532499999999998</c:v>
                </c:pt>
                <c:pt idx="7">
                  <c:v>0.74127799999999999</c:v>
                </c:pt>
                <c:pt idx="8">
                  <c:v>0.99128799999999995</c:v>
                </c:pt>
                <c:pt idx="9">
                  <c:v>1.2724490000065511</c:v>
                </c:pt>
                <c:pt idx="10">
                  <c:v>1.7101719999969589</c:v>
                </c:pt>
                <c:pt idx="11">
                  <c:v>1.9603219999993571</c:v>
                </c:pt>
                <c:pt idx="12">
                  <c:v>2.2106449999939177</c:v>
                </c:pt>
                <c:pt idx="13">
                  <c:v>2.616710999999913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EE0-4332-8183-157294E40AA1}"/>
            </c:ext>
          </c:extLst>
        </c:ser>
        <c:ser>
          <c:idx val="8"/>
          <c:order val="7"/>
          <c:tx>
            <c:v>#1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Calibrated!$M$171:$M$217</c:f>
              <c:numCache>
                <c:formatCode>@</c:formatCode>
                <c:ptCount val="47"/>
                <c:pt idx="0" formatCode="General">
                  <c:v>0</c:v>
                </c:pt>
                <c:pt idx="1">
                  <c:v>934.95727754999996</c:v>
                </c:pt>
                <c:pt idx="2">
                  <c:v>1137.0280850666666</c:v>
                </c:pt>
                <c:pt idx="3">
                  <c:v>1741.3421542666665</c:v>
                </c:pt>
                <c:pt idx="4">
                  <c:v>2413.6046490666668</c:v>
                </c:pt>
                <c:pt idx="5">
                  <c:v>3224.3353773500003</c:v>
                </c:pt>
                <c:pt idx="6">
                  <c:v>3887.4645471666668</c:v>
                </c:pt>
                <c:pt idx="7">
                  <c:v>4610.4780921333331</c:v>
                </c:pt>
                <c:pt idx="8">
                  <c:v>5720.0489239666667</c:v>
                </c:pt>
                <c:pt idx="9">
                  <c:v>6167.0921646833331</c:v>
                </c:pt>
                <c:pt idx="10">
                  <c:v>6807.1202782</c:v>
                </c:pt>
                <c:pt idx="11">
                  <c:v>7553.7822666166667</c:v>
                </c:pt>
              </c:numCache>
            </c:numRef>
          </c:xVal>
          <c:yVal>
            <c:numRef>
              <c:f>Calibrated!$G$171:$G$217</c:f>
              <c:numCache>
                <c:formatCode>@</c:formatCode>
                <c:ptCount val="47"/>
                <c:pt idx="0">
                  <c:v>-0.85362000000655125</c:v>
                </c:pt>
                <c:pt idx="1">
                  <c:v>-1.2904619999987139</c:v>
                </c:pt>
                <c:pt idx="2">
                  <c:v>-1.5396540000035102</c:v>
                </c:pt>
                <c:pt idx="3">
                  <c:v>-3.3834660000000132</c:v>
                </c:pt>
                <c:pt idx="4">
                  <c:v>-4.1333619999991829</c:v>
                </c:pt>
                <c:pt idx="5">
                  <c:v>-4.9772370000000814</c:v>
                </c:pt>
                <c:pt idx="6">
                  <c:v>-5.7270480000009378</c:v>
                </c:pt>
                <c:pt idx="7">
                  <c:v>-6.539727999997897</c:v>
                </c:pt>
                <c:pt idx="8">
                  <c:v>-7.7898940000044483</c:v>
                </c:pt>
                <c:pt idx="9">
                  <c:v>-8.3842330000002079</c:v>
                </c:pt>
                <c:pt idx="10">
                  <c:v>-9.071110000007959</c:v>
                </c:pt>
                <c:pt idx="11">
                  <c:v>-9.7903639999995651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EE0-4332-8183-157294E40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560735"/>
        <c:axId val="849494383"/>
      </c:scatterChart>
      <c:valAx>
        <c:axId val="85956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494383"/>
        <c:crosses val="autoZero"/>
        <c:crossBetween val="midCat"/>
      </c:valAx>
      <c:valAx>
        <c:axId val="84949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560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095322003839853"/>
          <c:y val="0.15035743519382183"/>
          <c:w val="0.30238790346946243"/>
          <c:h val="0.797335270111769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4705202071587"/>
                  <c:y val="-0.775095231162474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Test1!$M$3:$M$34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813.54688473333351</c:v>
                </c:pt>
                <c:pt idx="2">
                  <c:v>1341.5213563666666</c:v>
                </c:pt>
                <c:pt idx="3">
                  <c:v>2688.1239746833335</c:v>
                </c:pt>
                <c:pt idx="4">
                  <c:v>3959.9958329333335</c:v>
                </c:pt>
                <c:pt idx="5">
                  <c:v>4288.6510434833335</c:v>
                </c:pt>
                <c:pt idx="6">
                  <c:v>4802.5234638333332</c:v>
                </c:pt>
                <c:pt idx="7">
                  <c:v>5030.7270985333334</c:v>
                </c:pt>
                <c:pt idx="8">
                  <c:v>5726.6031321833334</c:v>
                </c:pt>
                <c:pt idx="9">
                  <c:v>6251.5453098500002</c:v>
                </c:pt>
                <c:pt idx="10">
                  <c:v>6586.9489518</c:v>
                </c:pt>
                <c:pt idx="11">
                  <c:v>7182.1244964666666</c:v>
                </c:pt>
                <c:pt idx="12">
                  <c:v>7832.8520849999995</c:v>
                </c:pt>
                <c:pt idx="13">
                  <c:v>8634.6979276666661</c:v>
                </c:pt>
                <c:pt idx="14">
                  <c:v>9251.008343266667</c:v>
                </c:pt>
                <c:pt idx="15">
                  <c:v>9416.9442801500008</c:v>
                </c:pt>
                <c:pt idx="16">
                  <c:v>11306.239609983335</c:v>
                </c:pt>
                <c:pt idx="17">
                  <c:v>12244.805212083334</c:v>
                </c:pt>
                <c:pt idx="18">
                  <c:v>12472.075526466668</c:v>
                </c:pt>
                <c:pt idx="19">
                  <c:v>12881.048443883334</c:v>
                </c:pt>
                <c:pt idx="20">
                  <c:v>13571.758871600001</c:v>
                </c:pt>
                <c:pt idx="21">
                  <c:v>15074.998967483334</c:v>
                </c:pt>
                <c:pt idx="22">
                  <c:v>16398.188549183335</c:v>
                </c:pt>
                <c:pt idx="23">
                  <c:v>16697.992708766669</c:v>
                </c:pt>
                <c:pt idx="24">
                  <c:v>18083.832306233337</c:v>
                </c:pt>
                <c:pt idx="25">
                  <c:v>19465.948958833338</c:v>
                </c:pt>
                <c:pt idx="26">
                  <c:v>20013.990106900004</c:v>
                </c:pt>
                <c:pt idx="27">
                  <c:v>21588.544791666671</c:v>
                </c:pt>
                <c:pt idx="28">
                  <c:v>22381.022928200004</c:v>
                </c:pt>
              </c:numCache>
            </c:numRef>
          </c:xVal>
          <c:yVal>
            <c:numRef>
              <c:f>Test1!$G$3:$G$34</c:f>
              <c:numCache>
                <c:formatCode>@</c:formatCode>
                <c:ptCount val="29"/>
                <c:pt idx="0">
                  <c:v>-0.82083599999935697</c:v>
                </c:pt>
                <c:pt idx="1">
                  <c:v>-1.6336590000035101</c:v>
                </c:pt>
                <c:pt idx="2">
                  <c:v>-2.1020440000004692</c:v>
                </c:pt>
                <c:pt idx="3">
                  <c:v>-2.2586240000004691</c:v>
                </c:pt>
                <c:pt idx="4">
                  <c:v>-4.5707139999943864</c:v>
                </c:pt>
                <c:pt idx="5">
                  <c:v>-4.8839749999997828</c:v>
                </c:pt>
                <c:pt idx="6">
                  <c:v>-4.2277259999991825</c:v>
                </c:pt>
                <c:pt idx="7">
                  <c:v>-4.4462630000039791</c:v>
                </c:pt>
                <c:pt idx="8">
                  <c:v>-7.0084379999996518</c:v>
                </c:pt>
                <c:pt idx="9">
                  <c:v>-7.539574999999652</c:v>
                </c:pt>
                <c:pt idx="10">
                  <c:v>-7.7581860000044482</c:v>
                </c:pt>
                <c:pt idx="11">
                  <c:v>-8.2905260000002077</c:v>
                </c:pt>
                <c:pt idx="12">
                  <c:v>-8.9460459999918154</c:v>
                </c:pt>
                <c:pt idx="13">
                  <c:v>-9.6959719999995642</c:v>
                </c:pt>
                <c:pt idx="14">
                  <c:v>-10.321132000000121</c:v>
                </c:pt>
                <c:pt idx="15">
                  <c:v>-10.477436999995325</c:v>
                </c:pt>
                <c:pt idx="16">
                  <c:v>-12.196404999998835</c:v>
                </c:pt>
                <c:pt idx="17">
                  <c:v>-13.133373000005387</c:v>
                </c:pt>
                <c:pt idx="18">
                  <c:v>-13.352406000005386</c:v>
                </c:pt>
                <c:pt idx="19">
                  <c:v>-13.727116999999989</c:v>
                </c:pt>
                <c:pt idx="20">
                  <c:v>-14.352604000002344</c:v>
                </c:pt>
                <c:pt idx="21">
                  <c:v>-15.758490999999303</c:v>
                </c:pt>
                <c:pt idx="22">
                  <c:v>-18.133628999999772</c:v>
                </c:pt>
                <c:pt idx="23">
                  <c:v>-18.383405999999773</c:v>
                </c:pt>
                <c:pt idx="24">
                  <c:v>-19.759023999996732</c:v>
                </c:pt>
                <c:pt idx="25">
                  <c:v>-20.758260000003283</c:v>
                </c:pt>
                <c:pt idx="26">
                  <c:v>-21.226956000000243</c:v>
                </c:pt>
                <c:pt idx="27">
                  <c:v>-22.5085030000002</c:v>
                </c:pt>
                <c:pt idx="28">
                  <c:v>-23.196675999994159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04-4CFC-8074-915679054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134192"/>
        <c:axId val="258147632"/>
      </c:scatterChart>
      <c:valAx>
        <c:axId val="25813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147632"/>
        <c:crosses val="autoZero"/>
        <c:crossBetween val="midCat"/>
      </c:valAx>
      <c:valAx>
        <c:axId val="2581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13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150427636262494"/>
                  <c:y val="-0.789321294810157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Test1!$M$37:$M$68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810.27657348333321</c:v>
                </c:pt>
                <c:pt idx="2">
                  <c:v>1334.5984383333334</c:v>
                </c:pt>
                <c:pt idx="3">
                  <c:v>2685.4442615833336</c:v>
                </c:pt>
                <c:pt idx="4">
                  <c:v>3957.7427017500004</c:v>
                </c:pt>
                <c:pt idx="5">
                  <c:v>4285.4297109833333</c:v>
                </c:pt>
                <c:pt idx="6">
                  <c:v>4814.4671861333336</c:v>
                </c:pt>
                <c:pt idx="7">
                  <c:v>5033.58593225</c:v>
                </c:pt>
                <c:pt idx="8">
                  <c:v>5715.5088507166665</c:v>
                </c:pt>
                <c:pt idx="9">
                  <c:v>6256.48176435</c:v>
                </c:pt>
                <c:pt idx="10">
                  <c:v>6586.3671837333331</c:v>
                </c:pt>
                <c:pt idx="11">
                  <c:v>7173.1729097666666</c:v>
                </c:pt>
                <c:pt idx="12">
                  <c:v>7832.4640526000003</c:v>
                </c:pt>
                <c:pt idx="13">
                  <c:v>8645.6729110666674</c:v>
                </c:pt>
                <c:pt idx="14">
                  <c:v>9234.9135416666668</c:v>
                </c:pt>
                <c:pt idx="15">
                  <c:v>9415.7651076166676</c:v>
                </c:pt>
                <c:pt idx="16">
                  <c:v>11299.366660200001</c:v>
                </c:pt>
                <c:pt idx="17">
                  <c:v>12243.611444716667</c:v>
                </c:pt>
                <c:pt idx="18">
                  <c:v>12477.714059800001</c:v>
                </c:pt>
                <c:pt idx="19">
                  <c:v>12879.718238266667</c:v>
                </c:pt>
                <c:pt idx="20">
                  <c:v>13569.1255201</c:v>
                </c:pt>
                <c:pt idx="21">
                  <c:v>15075.1583266</c:v>
                </c:pt>
                <c:pt idx="22">
                  <c:v>16395.290631966665</c:v>
                </c:pt>
                <c:pt idx="23">
                  <c:v>16684.544269383332</c:v>
                </c:pt>
                <c:pt idx="24">
                  <c:v>18087.527609299999</c:v>
                </c:pt>
                <c:pt idx="25">
                  <c:v>19447.620830766667</c:v>
                </c:pt>
                <c:pt idx="26">
                  <c:v>20011.293220216667</c:v>
                </c:pt>
                <c:pt idx="27">
                  <c:v>21574.056249283334</c:v>
                </c:pt>
                <c:pt idx="28">
                  <c:v>22364.7307339</c:v>
                </c:pt>
              </c:numCache>
            </c:numRef>
          </c:xVal>
          <c:yVal>
            <c:numRef>
              <c:f>Test1!$G$37:$G$68</c:f>
              <c:numCache>
                <c:formatCode>@</c:formatCode>
                <c:ptCount val="29"/>
                <c:pt idx="0">
                  <c:v>-0.88359599999935701</c:v>
                </c:pt>
                <c:pt idx="1">
                  <c:v>-1.4774969999939178</c:v>
                </c:pt>
                <c:pt idx="2">
                  <c:v>-1.7900560000035102</c:v>
                </c:pt>
                <c:pt idx="3">
                  <c:v>-1.53937500000351</c:v>
                </c:pt>
                <c:pt idx="4">
                  <c:v>-3.4458669999974276</c:v>
                </c:pt>
                <c:pt idx="5">
                  <c:v>-3.665406999999826</c:v>
                </c:pt>
                <c:pt idx="6">
                  <c:v>-2.9147950000004688</c:v>
                </c:pt>
                <c:pt idx="7">
                  <c:v>-3.0396549999974276</c:v>
                </c:pt>
                <c:pt idx="8">
                  <c:v>-5.4146969999997392</c:v>
                </c:pt>
                <c:pt idx="9">
                  <c:v>-5.7894890000009376</c:v>
                </c:pt>
                <c:pt idx="10">
                  <c:v>-5.9146540000009376</c:v>
                </c:pt>
                <c:pt idx="11">
                  <c:v>-6.2583809999996953</c:v>
                </c:pt>
                <c:pt idx="12">
                  <c:v>-6.7270759999978971</c:v>
                </c:pt>
                <c:pt idx="13">
                  <c:v>-7.2584309999996517</c:v>
                </c:pt>
                <c:pt idx="14">
                  <c:v>-7.6962359999996517</c:v>
                </c:pt>
                <c:pt idx="15">
                  <c:v>-7.7898010000044478</c:v>
                </c:pt>
                <c:pt idx="16">
                  <c:v>-8.883350000001407</c:v>
                </c:pt>
                <c:pt idx="17">
                  <c:v>-9.5706830000079588</c:v>
                </c:pt>
                <c:pt idx="18">
                  <c:v>-9.7271839999983651</c:v>
                </c:pt>
                <c:pt idx="19">
                  <c:v>-9.9778460000000138</c:v>
                </c:pt>
                <c:pt idx="20">
                  <c:v>-10.414719000000121</c:v>
                </c:pt>
                <c:pt idx="21">
                  <c:v>-11.383352000001876</c:v>
                </c:pt>
                <c:pt idx="22">
                  <c:v>-13.32109900000059</c:v>
                </c:pt>
                <c:pt idx="23">
                  <c:v>-13.539631999995793</c:v>
                </c:pt>
                <c:pt idx="24">
                  <c:v>-14.539930000002345</c:v>
                </c:pt>
                <c:pt idx="25">
                  <c:v>-15.133438999999303</c:v>
                </c:pt>
                <c:pt idx="26">
                  <c:v>-15.477219999999303</c:v>
                </c:pt>
                <c:pt idx="27">
                  <c:v>-16.258866999999857</c:v>
                </c:pt>
                <c:pt idx="28">
                  <c:v>-16.727506000005853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13-456B-AA4F-9B8AB5668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69696"/>
        <c:axId val="35262496"/>
      </c:scatterChart>
      <c:valAx>
        <c:axId val="3526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62496"/>
        <c:crosses val="autoZero"/>
        <c:crossBetween val="midCat"/>
      </c:valAx>
      <c:valAx>
        <c:axId val="3526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6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378688466717439"/>
                  <c:y val="-0.785554819142840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Test1!$M$71:$M$102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805.27707701666668</c:v>
                </c:pt>
                <c:pt idx="2">
                  <c:v>1312.9166585666667</c:v>
                </c:pt>
                <c:pt idx="3">
                  <c:v>2717.9468769833329</c:v>
                </c:pt>
                <c:pt idx="4">
                  <c:v>3943.5286319833331</c:v>
                </c:pt>
                <c:pt idx="5">
                  <c:v>4265.0322922666664</c:v>
                </c:pt>
                <c:pt idx="6">
                  <c:v>4803.7864745166662</c:v>
                </c:pt>
                <c:pt idx="7">
                  <c:v>5017.1885446499991</c:v>
                </c:pt>
                <c:pt idx="8">
                  <c:v>5716.8114512999991</c:v>
                </c:pt>
                <c:pt idx="9">
                  <c:v>6243.2676990999989</c:v>
                </c:pt>
                <c:pt idx="10">
                  <c:v>6584.003648033332</c:v>
                </c:pt>
                <c:pt idx="11">
                  <c:v>7168.3260311333324</c:v>
                </c:pt>
                <c:pt idx="12">
                  <c:v>7823.8677205166659</c:v>
                </c:pt>
                <c:pt idx="13">
                  <c:v>8641.093239783333</c:v>
                </c:pt>
                <c:pt idx="14">
                  <c:v>9221.8166744833325</c:v>
                </c:pt>
                <c:pt idx="15">
                  <c:v>9410.5854321666666</c:v>
                </c:pt>
                <c:pt idx="16">
                  <c:v>11288.854161916666</c:v>
                </c:pt>
                <c:pt idx="17">
                  <c:v>12239.165613983332</c:v>
                </c:pt>
                <c:pt idx="18">
                  <c:v>12465.068226333333</c:v>
                </c:pt>
                <c:pt idx="19">
                  <c:v>12859.672393466666</c:v>
                </c:pt>
                <c:pt idx="20">
                  <c:v>13570.246348616665</c:v>
                </c:pt>
                <c:pt idx="21">
                  <c:v>15075.562494499998</c:v>
                </c:pt>
                <c:pt idx="22">
                  <c:v>16390.262505766666</c:v>
                </c:pt>
                <c:pt idx="23">
                  <c:v>16676.198960549998</c:v>
                </c:pt>
                <c:pt idx="24">
                  <c:v>18056.431246099997</c:v>
                </c:pt>
                <c:pt idx="25">
                  <c:v>19444.825000766665</c:v>
                </c:pt>
                <c:pt idx="26">
                  <c:v>20006.79739753333</c:v>
                </c:pt>
                <c:pt idx="27">
                  <c:v>21578.943751783328</c:v>
                </c:pt>
                <c:pt idx="28">
                  <c:v>22359.717724233327</c:v>
                </c:pt>
              </c:numCache>
            </c:numRef>
          </c:xVal>
          <c:yVal>
            <c:numRef>
              <c:f>Test1!$G$71:$G$102</c:f>
              <c:numCache>
                <c:formatCode>@</c:formatCode>
                <c:ptCount val="29"/>
                <c:pt idx="0">
                  <c:v>-0.41475400000055596</c:v>
                </c:pt>
                <c:pt idx="1">
                  <c:v>-1.03983100000351</c:v>
                </c:pt>
                <c:pt idx="2">
                  <c:v>-1.4145969999939179</c:v>
                </c:pt>
                <c:pt idx="3">
                  <c:v>-1.2277610000035102</c:v>
                </c:pt>
                <c:pt idx="4">
                  <c:v>-3.1331019999974279</c:v>
                </c:pt>
                <c:pt idx="5">
                  <c:v>-3.3534360000004253</c:v>
                </c:pt>
                <c:pt idx="6">
                  <c:v>-2.6027530000004688</c:v>
                </c:pt>
                <c:pt idx="7">
                  <c:v>-2.7272880000004691</c:v>
                </c:pt>
                <c:pt idx="8">
                  <c:v>-5.1020780000003381</c:v>
                </c:pt>
                <c:pt idx="9">
                  <c:v>-5.4768800000009374</c:v>
                </c:pt>
                <c:pt idx="10">
                  <c:v>-5.6334490000009376</c:v>
                </c:pt>
                <c:pt idx="11">
                  <c:v>-5.9768319999997388</c:v>
                </c:pt>
                <c:pt idx="12">
                  <c:v>-6.4780619999978963</c:v>
                </c:pt>
                <c:pt idx="13">
                  <c:v>-7.0087149999996523</c:v>
                </c:pt>
                <c:pt idx="14">
                  <c:v>-7.4148619999996521</c:v>
                </c:pt>
                <c:pt idx="15">
                  <c:v>-7.5402520000044477</c:v>
                </c:pt>
                <c:pt idx="16">
                  <c:v>-8.6646690000014068</c:v>
                </c:pt>
                <c:pt idx="17">
                  <c:v>-9.3519409999983658</c:v>
                </c:pt>
                <c:pt idx="18">
                  <c:v>-9.5084159999983662</c:v>
                </c:pt>
                <c:pt idx="19">
                  <c:v>-9.7583410000000139</c:v>
                </c:pt>
                <c:pt idx="20">
                  <c:v>-10.195969000000121</c:v>
                </c:pt>
                <c:pt idx="21">
                  <c:v>-11.164683999992283</c:v>
                </c:pt>
                <c:pt idx="22">
                  <c:v>-13.16494900000059</c:v>
                </c:pt>
                <c:pt idx="23">
                  <c:v>-13.352338999995794</c:v>
                </c:pt>
                <c:pt idx="24">
                  <c:v>-14.290008000002345</c:v>
                </c:pt>
                <c:pt idx="25">
                  <c:v>-14.914781000002344</c:v>
                </c:pt>
                <c:pt idx="26">
                  <c:v>-15.258755999999304</c:v>
                </c:pt>
                <c:pt idx="27">
                  <c:v>-16.039808999999856</c:v>
                </c:pt>
                <c:pt idx="28">
                  <c:v>-16.477618999996263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70-4B36-88B5-562A1F02E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453968"/>
        <c:axId val="1952457808"/>
      </c:scatterChart>
      <c:valAx>
        <c:axId val="195245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57808"/>
        <c:crosses val="autoZero"/>
        <c:crossBetween val="midCat"/>
      </c:valAx>
      <c:valAx>
        <c:axId val="19524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5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701681533155653"/>
                  <c:y val="-0.641380176266765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Test1!$M$105:$M$136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801.03440495000007</c:v>
                </c:pt>
                <c:pt idx="2">
                  <c:v>1309.2682442666667</c:v>
                </c:pt>
                <c:pt idx="3">
                  <c:v>2714.3327979666665</c:v>
                </c:pt>
                <c:pt idx="4">
                  <c:v>3928.1354020166664</c:v>
                </c:pt>
                <c:pt idx="5">
                  <c:v>4253.3015419499998</c:v>
                </c:pt>
                <c:pt idx="6">
                  <c:v>4786.9666648833336</c:v>
                </c:pt>
                <c:pt idx="7">
                  <c:v>5018.9328005000007</c:v>
                </c:pt>
                <c:pt idx="8">
                  <c:v>5707.6150877666678</c:v>
                </c:pt>
                <c:pt idx="9">
                  <c:v>6239.1822741833348</c:v>
                </c:pt>
                <c:pt idx="10">
                  <c:v>6587.780707433335</c:v>
                </c:pt>
                <c:pt idx="11">
                  <c:v>7154.4473791000019</c:v>
                </c:pt>
                <c:pt idx="12">
                  <c:v>7826.5650939333354</c:v>
                </c:pt>
                <c:pt idx="13">
                  <c:v>8622.3484225000029</c:v>
                </c:pt>
                <c:pt idx="14">
                  <c:v>9228.2827949500024</c:v>
                </c:pt>
                <c:pt idx="15">
                  <c:v>9397.082803283336</c:v>
                </c:pt>
                <c:pt idx="16">
                  <c:v>11281.081234300003</c:v>
                </c:pt>
                <c:pt idx="17">
                  <c:v>12237.182282783337</c:v>
                </c:pt>
                <c:pt idx="18">
                  <c:v>12461.098959116669</c:v>
                </c:pt>
                <c:pt idx="19">
                  <c:v>12856.298950050003</c:v>
                </c:pt>
                <c:pt idx="20">
                  <c:v>13551.648950650002</c:v>
                </c:pt>
                <c:pt idx="21">
                  <c:v>15035.848940300002</c:v>
                </c:pt>
                <c:pt idx="22">
                  <c:v>16386.183846200001</c:v>
                </c:pt>
                <c:pt idx="23">
                  <c:v>16674.034364416668</c:v>
                </c:pt>
                <c:pt idx="24">
                  <c:v>18078.654158766669</c:v>
                </c:pt>
                <c:pt idx="25">
                  <c:v>19442.382791333337</c:v>
                </c:pt>
                <c:pt idx="26">
                  <c:v>20007.548428133337</c:v>
                </c:pt>
                <c:pt idx="27">
                  <c:v>21575.661458216669</c:v>
                </c:pt>
                <c:pt idx="28">
                  <c:v>22356.110927066671</c:v>
                </c:pt>
              </c:numCache>
            </c:numRef>
          </c:xVal>
          <c:yVal>
            <c:numRef>
              <c:f>Test1!$G$105:$G$136</c:f>
              <c:numCache>
                <c:formatCode>@</c:formatCode>
                <c:ptCount val="29"/>
                <c:pt idx="0">
                  <c:v>-0.32148500000055602</c:v>
                </c:pt>
                <c:pt idx="1">
                  <c:v>-0.3847140000065512</c:v>
                </c:pt>
                <c:pt idx="2">
                  <c:v>-0.41535899999695891</c:v>
                </c:pt>
                <c:pt idx="3">
                  <c:v>0.710503</c:v>
                </c:pt>
                <c:pt idx="4">
                  <c:v>-0.44603799999695892</c:v>
                </c:pt>
                <c:pt idx="5">
                  <c:v>-0.41438400000055597</c:v>
                </c:pt>
                <c:pt idx="6">
                  <c:v>0.67886500000000005</c:v>
                </c:pt>
                <c:pt idx="7">
                  <c:v>0.71011000000000002</c:v>
                </c:pt>
                <c:pt idx="8">
                  <c:v>-1.227105999999913</c:v>
                </c:pt>
                <c:pt idx="9">
                  <c:v>-1.258165999998714</c:v>
                </c:pt>
                <c:pt idx="10">
                  <c:v>-1.16440200000351</c:v>
                </c:pt>
                <c:pt idx="11">
                  <c:v>-1.164600999999913</c:v>
                </c:pt>
                <c:pt idx="12">
                  <c:v>-1.2271870000035101</c:v>
                </c:pt>
                <c:pt idx="13">
                  <c:v>-1.2269639999999131</c:v>
                </c:pt>
                <c:pt idx="14">
                  <c:v>-1.28951500000351</c:v>
                </c:pt>
                <c:pt idx="15">
                  <c:v>-1.2897620000035102</c:v>
                </c:pt>
                <c:pt idx="16">
                  <c:v>-1.1963360000035101</c:v>
                </c:pt>
                <c:pt idx="17">
                  <c:v>-1.25862200000351</c:v>
                </c:pt>
                <c:pt idx="18">
                  <c:v>-1.2589190000035102</c:v>
                </c:pt>
                <c:pt idx="19">
                  <c:v>-1.2586199999999881</c:v>
                </c:pt>
                <c:pt idx="20">
                  <c:v>-1.25868900000351</c:v>
                </c:pt>
                <c:pt idx="21">
                  <c:v>-1.2582930000035102</c:v>
                </c:pt>
                <c:pt idx="22">
                  <c:v>-2.3523830000004691</c:v>
                </c:pt>
                <c:pt idx="23">
                  <c:v>-2.3834819999908765</c:v>
                </c:pt>
                <c:pt idx="24">
                  <c:v>-2.5712130000004692</c:v>
                </c:pt>
                <c:pt idx="25">
                  <c:v>-2.2895670000004689</c:v>
                </c:pt>
                <c:pt idx="26">
                  <c:v>-2.2273110000004692</c:v>
                </c:pt>
                <c:pt idx="27">
                  <c:v>-2.0087799999998692</c:v>
                </c:pt>
                <c:pt idx="28">
                  <c:v>-1.9774430000035101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AF-4FB2-B205-568EA22A3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420096"/>
        <c:axId val="2071421536"/>
      </c:scatterChart>
      <c:valAx>
        <c:axId val="207142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421536"/>
        <c:crosses val="autoZero"/>
        <c:crossBetween val="midCat"/>
      </c:valAx>
      <c:valAx>
        <c:axId val="207142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42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2432588923886458"/>
                  <c:y val="-0.241275470722452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Test1!$M$139:$M$170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786.60051438333323</c:v>
                </c:pt>
                <c:pt idx="2">
                  <c:v>1302.7885243999999</c:v>
                </c:pt>
                <c:pt idx="3">
                  <c:v>2657.7390437666663</c:v>
                </c:pt>
                <c:pt idx="4">
                  <c:v>3908.5124775999993</c:v>
                </c:pt>
                <c:pt idx="5">
                  <c:v>4248.454678383333</c:v>
                </c:pt>
                <c:pt idx="6">
                  <c:v>4782.5911391833333</c:v>
                </c:pt>
                <c:pt idx="7">
                  <c:v>4997.4859198499998</c:v>
                </c:pt>
                <c:pt idx="8">
                  <c:v>5682.552582483333</c:v>
                </c:pt>
                <c:pt idx="9">
                  <c:v>6228.9739533833326</c:v>
                </c:pt>
                <c:pt idx="10">
                  <c:v>6566.0979117499992</c:v>
                </c:pt>
                <c:pt idx="11">
                  <c:v>7141.2343643499989</c:v>
                </c:pt>
                <c:pt idx="12">
                  <c:v>7804.953633766665</c:v>
                </c:pt>
                <c:pt idx="13">
                  <c:v>8602.2854110833323</c:v>
                </c:pt>
                <c:pt idx="14">
                  <c:v>9213.2062419666654</c:v>
                </c:pt>
                <c:pt idx="15">
                  <c:v>9384.2187334333321</c:v>
                </c:pt>
                <c:pt idx="16">
                  <c:v>11273.275516233332</c:v>
                </c:pt>
                <c:pt idx="17">
                  <c:v>12211.988521966665</c:v>
                </c:pt>
                <c:pt idx="18">
                  <c:v>12432.034358683331</c:v>
                </c:pt>
                <c:pt idx="19">
                  <c:v>12854.440610366664</c:v>
                </c:pt>
                <c:pt idx="20">
                  <c:v>13551.440606249997</c:v>
                </c:pt>
                <c:pt idx="21">
                  <c:v>15050.873422566663</c:v>
                </c:pt>
                <c:pt idx="22">
                  <c:v>16370.662506149996</c:v>
                </c:pt>
                <c:pt idx="23">
                  <c:v>16658.840093749997</c:v>
                </c:pt>
                <c:pt idx="24">
                  <c:v>18055.160923983331</c:v>
                </c:pt>
                <c:pt idx="25">
                  <c:v>19427.807809799997</c:v>
                </c:pt>
                <c:pt idx="26">
                  <c:v>19995.611456199997</c:v>
                </c:pt>
                <c:pt idx="27">
                  <c:v>21550.155706933328</c:v>
                </c:pt>
                <c:pt idx="28">
                  <c:v>22344.703634899994</c:v>
                </c:pt>
              </c:numCache>
            </c:numRef>
          </c:xVal>
          <c:yVal>
            <c:numRef>
              <c:f>Test1!$G$139:$G$170</c:f>
              <c:numCache>
                <c:formatCode>@</c:formatCode>
                <c:ptCount val="29"/>
                <c:pt idx="0">
                  <c:v>-0.88381400000055599</c:v>
                </c:pt>
                <c:pt idx="1">
                  <c:v>8.4495000000000001E-2</c:v>
                </c:pt>
                <c:pt idx="2">
                  <c:v>0.80430000000000001</c:v>
                </c:pt>
                <c:pt idx="3">
                  <c:v>3.7729500000004688</c:v>
                </c:pt>
                <c:pt idx="4">
                  <c:v>4.3669660000070198</c:v>
                </c:pt>
                <c:pt idx="5">
                  <c:v>4.8352809999998261</c:v>
                </c:pt>
                <c:pt idx="6">
                  <c:v>6.6475269999961419</c:v>
                </c:pt>
                <c:pt idx="7">
                  <c:v>6.9604990000009384</c:v>
                </c:pt>
                <c:pt idx="8">
                  <c:v>5.9604870000003816</c:v>
                </c:pt>
                <c:pt idx="9">
                  <c:v>6.6787110000009378</c:v>
                </c:pt>
                <c:pt idx="10">
                  <c:v>7.2410050000074895</c:v>
                </c:pt>
                <c:pt idx="11">
                  <c:v>8.0540329999996523</c:v>
                </c:pt>
                <c:pt idx="12">
                  <c:v>8.8978640000044482</c:v>
                </c:pt>
                <c:pt idx="13">
                  <c:v>9.9912290000002084</c:v>
                </c:pt>
                <c:pt idx="14">
                  <c:v>10.741217999998366</c:v>
                </c:pt>
                <c:pt idx="15">
                  <c:v>10.991615999998366</c:v>
                </c:pt>
                <c:pt idx="16">
                  <c:v>13.585094000008427</c:v>
                </c:pt>
                <c:pt idx="17">
                  <c:v>14.804344999995793</c:v>
                </c:pt>
                <c:pt idx="18">
                  <c:v>15.054049000002344</c:v>
                </c:pt>
                <c:pt idx="19">
                  <c:v>15.679170999999947</c:v>
                </c:pt>
                <c:pt idx="20">
                  <c:v>16.679186999999303</c:v>
                </c:pt>
                <c:pt idx="21">
                  <c:v>18.710246000002815</c:v>
                </c:pt>
                <c:pt idx="22">
                  <c:v>19.365492999999773</c:v>
                </c:pt>
                <c:pt idx="23">
                  <c:v>19.710208999999772</c:v>
                </c:pt>
                <c:pt idx="24">
                  <c:v>21.460387000003283</c:v>
                </c:pt>
                <c:pt idx="25">
                  <c:v>23.6470559999972</c:v>
                </c:pt>
                <c:pt idx="26">
                  <c:v>24.428675999994159</c:v>
                </c:pt>
                <c:pt idx="27">
                  <c:v>26.773186999999467</c:v>
                </c:pt>
                <c:pt idx="28">
                  <c:v>27.897379999994627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C7-4CF7-9819-16BCD5B2F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72096"/>
        <c:axId val="35278816"/>
      </c:scatterChart>
      <c:valAx>
        <c:axId val="3527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8816"/>
        <c:crosses val="autoZero"/>
        <c:crossBetween val="midCat"/>
      </c:valAx>
      <c:valAx>
        <c:axId val="352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899573876080177"/>
                  <c:y val="-0.21387019236081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Test1!$M$173:$M$204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783.2083236166668</c:v>
                </c:pt>
                <c:pt idx="2">
                  <c:v>1289.4244704666667</c:v>
                </c:pt>
                <c:pt idx="3">
                  <c:v>2693.9593669333335</c:v>
                </c:pt>
                <c:pt idx="4">
                  <c:v>3901.3708168333333</c:v>
                </c:pt>
                <c:pt idx="5">
                  <c:v>4241.0421856333332</c:v>
                </c:pt>
                <c:pt idx="6">
                  <c:v>4760.1567537499996</c:v>
                </c:pt>
                <c:pt idx="7">
                  <c:v>4980.4994749333327</c:v>
                </c:pt>
                <c:pt idx="8">
                  <c:v>5690.6578084499997</c:v>
                </c:pt>
                <c:pt idx="9">
                  <c:v>6209.4911315166664</c:v>
                </c:pt>
                <c:pt idx="10">
                  <c:v>6558.4447839833329</c:v>
                </c:pt>
                <c:pt idx="11">
                  <c:v>7143.7583194999997</c:v>
                </c:pt>
                <c:pt idx="12">
                  <c:v>7790.9041669166663</c:v>
                </c:pt>
                <c:pt idx="13">
                  <c:v>8591.8270799166658</c:v>
                </c:pt>
                <c:pt idx="14">
                  <c:v>9214.4401055833332</c:v>
                </c:pt>
                <c:pt idx="15">
                  <c:v>9373.1177073166673</c:v>
                </c:pt>
                <c:pt idx="16">
                  <c:v>11262.968748633333</c:v>
                </c:pt>
                <c:pt idx="17">
                  <c:v>12201.805206133333</c:v>
                </c:pt>
                <c:pt idx="18">
                  <c:v>12429.614604033333</c:v>
                </c:pt>
                <c:pt idx="19">
                  <c:v>12852.1333316</c:v>
                </c:pt>
                <c:pt idx="20">
                  <c:v>13540.244267233333</c:v>
                </c:pt>
                <c:pt idx="21">
                  <c:v>15043.976555316665</c:v>
                </c:pt>
                <c:pt idx="22">
                  <c:v>16367.067170199998</c:v>
                </c:pt>
                <c:pt idx="23">
                  <c:v>16656.090621633331</c:v>
                </c:pt>
                <c:pt idx="24">
                  <c:v>18033.27758588333</c:v>
                </c:pt>
                <c:pt idx="25">
                  <c:v>19400.644273199996</c:v>
                </c:pt>
                <c:pt idx="26">
                  <c:v>19983.207277849997</c:v>
                </c:pt>
                <c:pt idx="27">
                  <c:v>21555.318221266665</c:v>
                </c:pt>
                <c:pt idx="28">
                  <c:v>22335.773950199997</c:v>
                </c:pt>
              </c:numCache>
            </c:numRef>
          </c:xVal>
          <c:yVal>
            <c:numRef>
              <c:f>Test1!$G$173:$G$204</c:f>
              <c:numCache>
                <c:formatCode>@</c:formatCode>
                <c:ptCount val="29"/>
                <c:pt idx="0">
                  <c:v>-0.57108500000055606</c:v>
                </c:pt>
                <c:pt idx="1">
                  <c:v>0.92904200000000003</c:v>
                </c:pt>
                <c:pt idx="2">
                  <c:v>1.9602509999969588</c:v>
                </c:pt>
                <c:pt idx="3">
                  <c:v>5.8666390000039792</c:v>
                </c:pt>
                <c:pt idx="4">
                  <c:v>7.179456999997897</c:v>
                </c:pt>
                <c:pt idx="5">
                  <c:v>7.8975430000002946</c:v>
                </c:pt>
                <c:pt idx="6">
                  <c:v>10.023027999998366</c:v>
                </c:pt>
                <c:pt idx="7">
                  <c:v>10.460225000007958</c:v>
                </c:pt>
                <c:pt idx="8">
                  <c:v>9.9601440000002075</c:v>
                </c:pt>
                <c:pt idx="9">
                  <c:v>10.960317000003162</c:v>
                </c:pt>
                <c:pt idx="10">
                  <c:v>11.741363000004917</c:v>
                </c:pt>
                <c:pt idx="11">
                  <c:v>12.929169000000078</c:v>
                </c:pt>
                <c:pt idx="12">
                  <c:v>14.178873000005385</c:v>
                </c:pt>
                <c:pt idx="13">
                  <c:v>15.803827999999946</c:v>
                </c:pt>
                <c:pt idx="14">
                  <c:v>17.02244900000106</c:v>
                </c:pt>
                <c:pt idx="15">
                  <c:v>17.366159999996263</c:v>
                </c:pt>
                <c:pt idx="16">
                  <c:v>21.303721000003282</c:v>
                </c:pt>
                <c:pt idx="17">
                  <c:v>23.1161309999972</c:v>
                </c:pt>
                <c:pt idx="18">
                  <c:v>23.552983999997199</c:v>
                </c:pt>
                <c:pt idx="19">
                  <c:v>24.428233999999854</c:v>
                </c:pt>
                <c:pt idx="20">
                  <c:v>25.772628000000712</c:v>
                </c:pt>
                <c:pt idx="21">
                  <c:v>28.835306000001179</c:v>
                </c:pt>
                <c:pt idx="22">
                  <c:v>30.398227999999893</c:v>
                </c:pt>
                <c:pt idx="23">
                  <c:v>30.99126700000469</c:v>
                </c:pt>
                <c:pt idx="24">
                  <c:v>33.772975000005161</c:v>
                </c:pt>
                <c:pt idx="25">
                  <c:v>36.772462999996037</c:v>
                </c:pt>
                <c:pt idx="26">
                  <c:v>37.991888000002589</c:v>
                </c:pt>
                <c:pt idx="27">
                  <c:v>41.335314000000011</c:v>
                </c:pt>
                <c:pt idx="28">
                  <c:v>42.991658000006566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49-4B7D-BA0B-6CE03F4AD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155312"/>
        <c:axId val="258144272"/>
      </c:scatterChart>
      <c:valAx>
        <c:axId val="25815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144272"/>
        <c:crosses val="autoZero"/>
        <c:crossBetween val="midCat"/>
      </c:valAx>
      <c:valAx>
        <c:axId val="2581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15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304313458869577"/>
                  <c:y val="-0.199333963145086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Test1!$M$207:$M$238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780.02864776666672</c:v>
                </c:pt>
                <c:pt idx="2">
                  <c:v>1289.4911345</c:v>
                </c:pt>
                <c:pt idx="3">
                  <c:v>2649.9437434166666</c:v>
                </c:pt>
                <c:pt idx="4">
                  <c:v>3908.0854067666669</c:v>
                </c:pt>
                <c:pt idx="5">
                  <c:v>4229.1322845166669</c:v>
                </c:pt>
                <c:pt idx="6">
                  <c:v>4766.9927175833336</c:v>
                </c:pt>
                <c:pt idx="7">
                  <c:v>4989.9406243333333</c:v>
                </c:pt>
                <c:pt idx="8">
                  <c:v>5677.3505091666666</c:v>
                </c:pt>
                <c:pt idx="9">
                  <c:v>6214.7796794666665</c:v>
                </c:pt>
                <c:pt idx="10">
                  <c:v>6558.6588491833336</c:v>
                </c:pt>
                <c:pt idx="11">
                  <c:v>7128.9197770833334</c:v>
                </c:pt>
                <c:pt idx="12">
                  <c:v>7796.9317596833334</c:v>
                </c:pt>
                <c:pt idx="13">
                  <c:v>8602.6088541833342</c:v>
                </c:pt>
                <c:pt idx="14">
                  <c:v>9197.9885333833336</c:v>
                </c:pt>
                <c:pt idx="15">
                  <c:v>9365.0369781499994</c:v>
                </c:pt>
                <c:pt idx="16">
                  <c:v>11251.886975899999</c:v>
                </c:pt>
                <c:pt idx="17">
                  <c:v>12213.34687865</c:v>
                </c:pt>
                <c:pt idx="18">
                  <c:v>12435.811974516666</c:v>
                </c:pt>
                <c:pt idx="19">
                  <c:v>12851.491659716667</c:v>
                </c:pt>
                <c:pt idx="20">
                  <c:v>13532.51926895</c:v>
                </c:pt>
                <c:pt idx="21">
                  <c:v>15031.890097966667</c:v>
                </c:pt>
                <c:pt idx="22">
                  <c:v>16363.465101316668</c:v>
                </c:pt>
                <c:pt idx="23">
                  <c:v>16640.1463558</c:v>
                </c:pt>
                <c:pt idx="24">
                  <c:v>18020.83645975</c:v>
                </c:pt>
                <c:pt idx="25">
                  <c:v>19393.053642999999</c:v>
                </c:pt>
                <c:pt idx="26">
                  <c:v>19976.297911083333</c:v>
                </c:pt>
                <c:pt idx="27">
                  <c:v>21552.632284483334</c:v>
                </c:pt>
                <c:pt idx="28">
                  <c:v>22332.474989800001</c:v>
                </c:pt>
              </c:numCache>
            </c:numRef>
          </c:xVal>
          <c:yVal>
            <c:numRef>
              <c:f>Test1!$G$207:$G$238</c:f>
              <c:numCache>
                <c:formatCode>@</c:formatCode>
                <c:ptCount val="29"/>
                <c:pt idx="0">
                  <c:v>-0.16474799999935696</c:v>
                </c:pt>
                <c:pt idx="1">
                  <c:v>0.116407</c:v>
                </c:pt>
                <c:pt idx="2">
                  <c:v>0.36657000000000001</c:v>
                </c:pt>
                <c:pt idx="3">
                  <c:v>2.21038700000351</c:v>
                </c:pt>
                <c:pt idx="4">
                  <c:v>1.7103859999969588</c:v>
                </c:pt>
                <c:pt idx="5">
                  <c:v>1.8974869999999564</c:v>
                </c:pt>
                <c:pt idx="6">
                  <c:v>3.2720630000004691</c:v>
                </c:pt>
                <c:pt idx="7">
                  <c:v>3.3976280000004691</c:v>
                </c:pt>
                <c:pt idx="8">
                  <c:v>1.8040850000005562</c:v>
                </c:pt>
                <c:pt idx="9">
                  <c:v>2.0540460000035101</c:v>
                </c:pt>
                <c:pt idx="10">
                  <c:v>2.3040749999939178</c:v>
                </c:pt>
                <c:pt idx="11">
                  <c:v>2.6481429999999131</c:v>
                </c:pt>
                <c:pt idx="12">
                  <c:v>2.9293549999939179</c:v>
                </c:pt>
                <c:pt idx="13">
                  <c:v>3.3039209999992698</c:v>
                </c:pt>
                <c:pt idx="14">
                  <c:v>3.522869000000469</c:v>
                </c:pt>
                <c:pt idx="15">
                  <c:v>3.616333000000469</c:v>
                </c:pt>
                <c:pt idx="16">
                  <c:v>4.6164820000070197</c:v>
                </c:pt>
                <c:pt idx="17">
                  <c:v>5.0225310000039789</c:v>
                </c:pt>
                <c:pt idx="18">
                  <c:v>5.1165270000039786</c:v>
                </c:pt>
                <c:pt idx="19">
                  <c:v>5.3351869999997827</c:v>
                </c:pt>
                <c:pt idx="20">
                  <c:v>5.6788689999991826</c:v>
                </c:pt>
                <c:pt idx="21">
                  <c:v>6.4292010000009379</c:v>
                </c:pt>
                <c:pt idx="22">
                  <c:v>5.9289729999991829</c:v>
                </c:pt>
                <c:pt idx="23">
                  <c:v>6.0538660000009381</c:v>
                </c:pt>
                <c:pt idx="24">
                  <c:v>6.647717000000938</c:v>
                </c:pt>
                <c:pt idx="25">
                  <c:v>7.6163050000074888</c:v>
                </c:pt>
                <c:pt idx="26">
                  <c:v>7.9602119999978971</c:v>
                </c:pt>
                <c:pt idx="27">
                  <c:v>8.8978179999996527</c:v>
                </c:pt>
                <c:pt idx="28">
                  <c:v>9.3353540000014075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0D-4885-BA13-3A1E5D37F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875952"/>
        <c:axId val="1952453008"/>
      </c:scatterChart>
      <c:valAx>
        <c:axId val="196487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53008"/>
        <c:crosses val="autoZero"/>
        <c:crossBetween val="midCat"/>
      </c:valAx>
      <c:valAx>
        <c:axId val="195245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87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837576626619972"/>
                  <c:y val="-0.795000517620765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Test1!$M$241:$M$272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800.23384713333348</c:v>
                </c:pt>
                <c:pt idx="2">
                  <c:v>1304.7926969000002</c:v>
                </c:pt>
                <c:pt idx="3">
                  <c:v>2656.665628716667</c:v>
                </c:pt>
                <c:pt idx="4">
                  <c:v>3911.2557236333337</c:v>
                </c:pt>
                <c:pt idx="5">
                  <c:v>4257.6776076333335</c:v>
                </c:pt>
                <c:pt idx="6">
                  <c:v>4779.6531223333332</c:v>
                </c:pt>
                <c:pt idx="7">
                  <c:v>4995.6229051</c:v>
                </c:pt>
                <c:pt idx="8">
                  <c:v>5687.1176983333335</c:v>
                </c:pt>
                <c:pt idx="9">
                  <c:v>6238.1937532499996</c:v>
                </c:pt>
                <c:pt idx="10">
                  <c:v>6556.1479387666659</c:v>
                </c:pt>
                <c:pt idx="11">
                  <c:v>7140.7593740999991</c:v>
                </c:pt>
                <c:pt idx="12">
                  <c:v>7800.4739537499991</c:v>
                </c:pt>
                <c:pt idx="13">
                  <c:v>8616.4041543166659</c:v>
                </c:pt>
                <c:pt idx="14">
                  <c:v>9201.0161419666656</c:v>
                </c:pt>
                <c:pt idx="15">
                  <c:v>9398.485937649999</c:v>
                </c:pt>
                <c:pt idx="16">
                  <c:v>11267.049475366666</c:v>
                </c:pt>
                <c:pt idx="17">
                  <c:v>12225.099492699999</c:v>
                </c:pt>
                <c:pt idx="18">
                  <c:v>12447.221351383332</c:v>
                </c:pt>
                <c:pt idx="19">
                  <c:v>12849.644271816665</c:v>
                </c:pt>
                <c:pt idx="20">
                  <c:v>13537.723947683333</c:v>
                </c:pt>
                <c:pt idx="21">
                  <c:v>15054.498961666666</c:v>
                </c:pt>
                <c:pt idx="22">
                  <c:v>16367.056759033332</c:v>
                </c:pt>
                <c:pt idx="23">
                  <c:v>16672.212508099998</c:v>
                </c:pt>
                <c:pt idx="24">
                  <c:v>18059.369799316664</c:v>
                </c:pt>
                <c:pt idx="25">
                  <c:v>19421.238012949998</c:v>
                </c:pt>
                <c:pt idx="26">
                  <c:v>20000.831239683332</c:v>
                </c:pt>
                <c:pt idx="27">
                  <c:v>21554.736459</c:v>
                </c:pt>
                <c:pt idx="28">
                  <c:v>22357.735949483333</c:v>
                </c:pt>
              </c:numCache>
            </c:numRef>
          </c:xVal>
          <c:yVal>
            <c:numRef>
              <c:f>Test1!$G$241:$G$272</c:f>
              <c:numCache>
                <c:formatCode>@</c:formatCode>
                <c:ptCount val="29"/>
                <c:pt idx="0">
                  <c:v>-0.63366399999935696</c:v>
                </c:pt>
                <c:pt idx="1">
                  <c:v>-1.6646580000035101</c:v>
                </c:pt>
                <c:pt idx="2">
                  <c:v>-2.1957820000004689</c:v>
                </c:pt>
                <c:pt idx="3">
                  <c:v>-2.5712070000004692</c:v>
                </c:pt>
                <c:pt idx="4">
                  <c:v>-4.9772660000039792</c:v>
                </c:pt>
                <c:pt idx="5">
                  <c:v>-5.2900110000003382</c:v>
                </c:pt>
                <c:pt idx="6">
                  <c:v>-4.8212299999991828</c:v>
                </c:pt>
                <c:pt idx="7">
                  <c:v>-5.0081439999913453</c:v>
                </c:pt>
                <c:pt idx="8">
                  <c:v>-7.6956860000002525</c:v>
                </c:pt>
                <c:pt idx="9">
                  <c:v>-8.258789000001407</c:v>
                </c:pt>
                <c:pt idx="10">
                  <c:v>-8.5091560000014077</c:v>
                </c:pt>
                <c:pt idx="11">
                  <c:v>-9.1961689999995642</c:v>
                </c:pt>
                <c:pt idx="12">
                  <c:v>-10.070768000004916</c:v>
                </c:pt>
                <c:pt idx="13">
                  <c:v>-10.88314400000012</c:v>
                </c:pt>
                <c:pt idx="14">
                  <c:v>-11.60206199999708</c:v>
                </c:pt>
                <c:pt idx="15">
                  <c:v>-11.789768999992283</c:v>
                </c:pt>
                <c:pt idx="16">
                  <c:v>-13.602435000005386</c:v>
                </c:pt>
                <c:pt idx="17">
                  <c:v>-14.603082000002345</c:v>
                </c:pt>
                <c:pt idx="18">
                  <c:v>-14.914675000002346</c:v>
                </c:pt>
                <c:pt idx="19">
                  <c:v>-15.289811000000054</c:v>
                </c:pt>
                <c:pt idx="20">
                  <c:v>-16.071378999996263</c:v>
                </c:pt>
                <c:pt idx="21">
                  <c:v>-17.571277999993221</c:v>
                </c:pt>
                <c:pt idx="22">
                  <c:v>-20.039878000003284</c:v>
                </c:pt>
                <c:pt idx="23">
                  <c:v>-20.383750000003282</c:v>
                </c:pt>
                <c:pt idx="24">
                  <c:v>-21.821465000000241</c:v>
                </c:pt>
                <c:pt idx="25">
                  <c:v>-22.914594999997199</c:v>
                </c:pt>
                <c:pt idx="26">
                  <c:v>-23.508243000003752</c:v>
                </c:pt>
                <c:pt idx="27">
                  <c:v>-24.821136000000109</c:v>
                </c:pt>
                <c:pt idx="28">
                  <c:v>-25.79039199999767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CE-4CC1-8542-B7FD2DC18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454448"/>
        <c:axId val="1952458288"/>
      </c:scatterChart>
      <c:valAx>
        <c:axId val="195245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58288"/>
        <c:crosses val="autoZero"/>
        <c:crossBetween val="midCat"/>
      </c:valAx>
      <c:valAx>
        <c:axId val="19524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5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drift vs Time (all)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#2 Time drift vs Time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Test1!$M$3:$M$34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813.54688473333351</c:v>
                </c:pt>
                <c:pt idx="2">
                  <c:v>1341.5213563666666</c:v>
                </c:pt>
                <c:pt idx="3">
                  <c:v>2688.1239746833335</c:v>
                </c:pt>
                <c:pt idx="4">
                  <c:v>3959.9958329333335</c:v>
                </c:pt>
                <c:pt idx="5">
                  <c:v>4288.6510434833335</c:v>
                </c:pt>
                <c:pt idx="6">
                  <c:v>4802.5234638333332</c:v>
                </c:pt>
                <c:pt idx="7">
                  <c:v>5030.7270985333334</c:v>
                </c:pt>
                <c:pt idx="8">
                  <c:v>5726.6031321833334</c:v>
                </c:pt>
                <c:pt idx="9">
                  <c:v>6251.5453098500002</c:v>
                </c:pt>
                <c:pt idx="10">
                  <c:v>6586.9489518</c:v>
                </c:pt>
                <c:pt idx="11">
                  <c:v>7182.1244964666666</c:v>
                </c:pt>
                <c:pt idx="12">
                  <c:v>7832.8520849999995</c:v>
                </c:pt>
                <c:pt idx="13">
                  <c:v>8634.6979276666661</c:v>
                </c:pt>
                <c:pt idx="14">
                  <c:v>9251.008343266667</c:v>
                </c:pt>
                <c:pt idx="15">
                  <c:v>9416.9442801500008</c:v>
                </c:pt>
                <c:pt idx="16">
                  <c:v>11306.239609983335</c:v>
                </c:pt>
                <c:pt idx="17">
                  <c:v>12244.805212083334</c:v>
                </c:pt>
                <c:pt idx="18">
                  <c:v>12472.075526466668</c:v>
                </c:pt>
                <c:pt idx="19">
                  <c:v>12881.048443883334</c:v>
                </c:pt>
                <c:pt idx="20">
                  <c:v>13571.758871600001</c:v>
                </c:pt>
                <c:pt idx="21">
                  <c:v>15074.998967483334</c:v>
                </c:pt>
                <c:pt idx="22">
                  <c:v>16398.188549183335</c:v>
                </c:pt>
                <c:pt idx="23">
                  <c:v>16697.992708766669</c:v>
                </c:pt>
                <c:pt idx="24">
                  <c:v>18083.832306233337</c:v>
                </c:pt>
                <c:pt idx="25">
                  <c:v>19465.948958833338</c:v>
                </c:pt>
                <c:pt idx="26">
                  <c:v>20013.990106900004</c:v>
                </c:pt>
                <c:pt idx="27">
                  <c:v>21588.544791666671</c:v>
                </c:pt>
                <c:pt idx="28">
                  <c:v>22381.022928200004</c:v>
                </c:pt>
              </c:numCache>
            </c:numRef>
          </c:xVal>
          <c:yVal>
            <c:numRef>
              <c:f>Test1!$G$3:$G$34</c:f>
              <c:numCache>
                <c:formatCode>@</c:formatCode>
                <c:ptCount val="29"/>
                <c:pt idx="0">
                  <c:v>-0.82083599999935697</c:v>
                </c:pt>
                <c:pt idx="1">
                  <c:v>-1.6336590000035101</c:v>
                </c:pt>
                <c:pt idx="2">
                  <c:v>-2.1020440000004692</c:v>
                </c:pt>
                <c:pt idx="3">
                  <c:v>-2.2586240000004691</c:v>
                </c:pt>
                <c:pt idx="4">
                  <c:v>-4.5707139999943864</c:v>
                </c:pt>
                <c:pt idx="5">
                  <c:v>-4.8839749999997828</c:v>
                </c:pt>
                <c:pt idx="6">
                  <c:v>-4.2277259999991825</c:v>
                </c:pt>
                <c:pt idx="7">
                  <c:v>-4.4462630000039791</c:v>
                </c:pt>
                <c:pt idx="8">
                  <c:v>-7.0084379999996518</c:v>
                </c:pt>
                <c:pt idx="9">
                  <c:v>-7.539574999999652</c:v>
                </c:pt>
                <c:pt idx="10">
                  <c:v>-7.7581860000044482</c:v>
                </c:pt>
                <c:pt idx="11">
                  <c:v>-8.2905260000002077</c:v>
                </c:pt>
                <c:pt idx="12">
                  <c:v>-8.9460459999918154</c:v>
                </c:pt>
                <c:pt idx="13">
                  <c:v>-9.6959719999995642</c:v>
                </c:pt>
                <c:pt idx="14">
                  <c:v>-10.321132000000121</c:v>
                </c:pt>
                <c:pt idx="15">
                  <c:v>-10.477436999995325</c:v>
                </c:pt>
                <c:pt idx="16">
                  <c:v>-12.196404999998835</c:v>
                </c:pt>
                <c:pt idx="17">
                  <c:v>-13.133373000005387</c:v>
                </c:pt>
                <c:pt idx="18">
                  <c:v>-13.352406000005386</c:v>
                </c:pt>
                <c:pt idx="19">
                  <c:v>-13.727116999999989</c:v>
                </c:pt>
                <c:pt idx="20">
                  <c:v>-14.352604000002344</c:v>
                </c:pt>
                <c:pt idx="21">
                  <c:v>-15.758490999999303</c:v>
                </c:pt>
                <c:pt idx="22">
                  <c:v>-18.133628999999772</c:v>
                </c:pt>
                <c:pt idx="23">
                  <c:v>-18.383405999999773</c:v>
                </c:pt>
                <c:pt idx="24">
                  <c:v>-19.759023999996732</c:v>
                </c:pt>
                <c:pt idx="25">
                  <c:v>-20.758260000003283</c:v>
                </c:pt>
                <c:pt idx="26">
                  <c:v>-21.226956000000243</c:v>
                </c:pt>
                <c:pt idx="27">
                  <c:v>-22.5085030000002</c:v>
                </c:pt>
                <c:pt idx="28">
                  <c:v>-23.196675999994159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62-4FA0-9F33-E83BE0F06F7D}"/>
            </c:ext>
          </c:extLst>
        </c:ser>
        <c:ser>
          <c:idx val="1"/>
          <c:order val="1"/>
          <c:tx>
            <c:v>#3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Test1!$M$37:$M$68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810.27657348333321</c:v>
                </c:pt>
                <c:pt idx="2">
                  <c:v>1334.5984383333334</c:v>
                </c:pt>
                <c:pt idx="3">
                  <c:v>2685.4442615833336</c:v>
                </c:pt>
                <c:pt idx="4">
                  <c:v>3957.7427017500004</c:v>
                </c:pt>
                <c:pt idx="5">
                  <c:v>4285.4297109833333</c:v>
                </c:pt>
                <c:pt idx="6">
                  <c:v>4814.4671861333336</c:v>
                </c:pt>
                <c:pt idx="7">
                  <c:v>5033.58593225</c:v>
                </c:pt>
                <c:pt idx="8">
                  <c:v>5715.5088507166665</c:v>
                </c:pt>
                <c:pt idx="9">
                  <c:v>6256.48176435</c:v>
                </c:pt>
                <c:pt idx="10">
                  <c:v>6586.3671837333331</c:v>
                </c:pt>
                <c:pt idx="11">
                  <c:v>7173.1729097666666</c:v>
                </c:pt>
                <c:pt idx="12">
                  <c:v>7832.4640526000003</c:v>
                </c:pt>
                <c:pt idx="13">
                  <c:v>8645.6729110666674</c:v>
                </c:pt>
                <c:pt idx="14">
                  <c:v>9234.9135416666668</c:v>
                </c:pt>
                <c:pt idx="15">
                  <c:v>9415.7651076166676</c:v>
                </c:pt>
                <c:pt idx="16">
                  <c:v>11299.366660200001</c:v>
                </c:pt>
                <c:pt idx="17">
                  <c:v>12243.611444716667</c:v>
                </c:pt>
                <c:pt idx="18">
                  <c:v>12477.714059800001</c:v>
                </c:pt>
                <c:pt idx="19">
                  <c:v>12879.718238266667</c:v>
                </c:pt>
                <c:pt idx="20">
                  <c:v>13569.1255201</c:v>
                </c:pt>
                <c:pt idx="21">
                  <c:v>15075.1583266</c:v>
                </c:pt>
                <c:pt idx="22">
                  <c:v>16395.290631966665</c:v>
                </c:pt>
                <c:pt idx="23">
                  <c:v>16684.544269383332</c:v>
                </c:pt>
                <c:pt idx="24">
                  <c:v>18087.527609299999</c:v>
                </c:pt>
                <c:pt idx="25">
                  <c:v>19447.620830766667</c:v>
                </c:pt>
                <c:pt idx="26">
                  <c:v>20011.293220216667</c:v>
                </c:pt>
                <c:pt idx="27">
                  <c:v>21574.056249283334</c:v>
                </c:pt>
                <c:pt idx="28">
                  <c:v>22364.7307339</c:v>
                </c:pt>
              </c:numCache>
            </c:numRef>
          </c:xVal>
          <c:yVal>
            <c:numRef>
              <c:f>Test1!$G$37:$G$68</c:f>
              <c:numCache>
                <c:formatCode>@</c:formatCode>
                <c:ptCount val="29"/>
                <c:pt idx="0">
                  <c:v>-0.88359599999935701</c:v>
                </c:pt>
                <c:pt idx="1">
                  <c:v>-1.4774969999939178</c:v>
                </c:pt>
                <c:pt idx="2">
                  <c:v>-1.7900560000035102</c:v>
                </c:pt>
                <c:pt idx="3">
                  <c:v>-1.53937500000351</c:v>
                </c:pt>
                <c:pt idx="4">
                  <c:v>-3.4458669999974276</c:v>
                </c:pt>
                <c:pt idx="5">
                  <c:v>-3.665406999999826</c:v>
                </c:pt>
                <c:pt idx="6">
                  <c:v>-2.9147950000004688</c:v>
                </c:pt>
                <c:pt idx="7">
                  <c:v>-3.0396549999974276</c:v>
                </c:pt>
                <c:pt idx="8">
                  <c:v>-5.4146969999997392</c:v>
                </c:pt>
                <c:pt idx="9">
                  <c:v>-5.7894890000009376</c:v>
                </c:pt>
                <c:pt idx="10">
                  <c:v>-5.9146540000009376</c:v>
                </c:pt>
                <c:pt idx="11">
                  <c:v>-6.2583809999996953</c:v>
                </c:pt>
                <c:pt idx="12">
                  <c:v>-6.7270759999978971</c:v>
                </c:pt>
                <c:pt idx="13">
                  <c:v>-7.2584309999996517</c:v>
                </c:pt>
                <c:pt idx="14">
                  <c:v>-7.6962359999996517</c:v>
                </c:pt>
                <c:pt idx="15">
                  <c:v>-7.7898010000044478</c:v>
                </c:pt>
                <c:pt idx="16">
                  <c:v>-8.883350000001407</c:v>
                </c:pt>
                <c:pt idx="17">
                  <c:v>-9.5706830000079588</c:v>
                </c:pt>
                <c:pt idx="18">
                  <c:v>-9.7271839999983651</c:v>
                </c:pt>
                <c:pt idx="19">
                  <c:v>-9.9778460000000138</c:v>
                </c:pt>
                <c:pt idx="20">
                  <c:v>-10.414719000000121</c:v>
                </c:pt>
                <c:pt idx="21">
                  <c:v>-11.383352000001876</c:v>
                </c:pt>
                <c:pt idx="22">
                  <c:v>-13.32109900000059</c:v>
                </c:pt>
                <c:pt idx="23">
                  <c:v>-13.539631999995793</c:v>
                </c:pt>
                <c:pt idx="24">
                  <c:v>-14.539930000002345</c:v>
                </c:pt>
                <c:pt idx="25">
                  <c:v>-15.133438999999303</c:v>
                </c:pt>
                <c:pt idx="26">
                  <c:v>-15.477219999999303</c:v>
                </c:pt>
                <c:pt idx="27">
                  <c:v>-16.258866999999857</c:v>
                </c:pt>
                <c:pt idx="28">
                  <c:v>-16.727506000005853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62-4FA0-9F33-E83BE0F06F7D}"/>
            </c:ext>
          </c:extLst>
        </c:ser>
        <c:ser>
          <c:idx val="2"/>
          <c:order val="2"/>
          <c:tx>
            <c:v>#4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Test1!$M$71:$M$102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805.27707701666668</c:v>
                </c:pt>
                <c:pt idx="2">
                  <c:v>1312.9166585666667</c:v>
                </c:pt>
                <c:pt idx="3">
                  <c:v>2717.9468769833329</c:v>
                </c:pt>
                <c:pt idx="4">
                  <c:v>3943.5286319833331</c:v>
                </c:pt>
                <c:pt idx="5">
                  <c:v>4265.0322922666664</c:v>
                </c:pt>
                <c:pt idx="6">
                  <c:v>4803.7864745166662</c:v>
                </c:pt>
                <c:pt idx="7">
                  <c:v>5017.1885446499991</c:v>
                </c:pt>
                <c:pt idx="8">
                  <c:v>5716.8114512999991</c:v>
                </c:pt>
                <c:pt idx="9">
                  <c:v>6243.2676990999989</c:v>
                </c:pt>
                <c:pt idx="10">
                  <c:v>6584.003648033332</c:v>
                </c:pt>
                <c:pt idx="11">
                  <c:v>7168.3260311333324</c:v>
                </c:pt>
                <c:pt idx="12">
                  <c:v>7823.8677205166659</c:v>
                </c:pt>
                <c:pt idx="13">
                  <c:v>8641.093239783333</c:v>
                </c:pt>
                <c:pt idx="14">
                  <c:v>9221.8166744833325</c:v>
                </c:pt>
                <c:pt idx="15">
                  <c:v>9410.5854321666666</c:v>
                </c:pt>
                <c:pt idx="16">
                  <c:v>11288.854161916666</c:v>
                </c:pt>
                <c:pt idx="17">
                  <c:v>12239.165613983332</c:v>
                </c:pt>
                <c:pt idx="18">
                  <c:v>12465.068226333333</c:v>
                </c:pt>
                <c:pt idx="19">
                  <c:v>12859.672393466666</c:v>
                </c:pt>
                <c:pt idx="20">
                  <c:v>13570.246348616665</c:v>
                </c:pt>
                <c:pt idx="21">
                  <c:v>15075.562494499998</c:v>
                </c:pt>
                <c:pt idx="22">
                  <c:v>16390.262505766666</c:v>
                </c:pt>
                <c:pt idx="23">
                  <c:v>16676.198960549998</c:v>
                </c:pt>
                <c:pt idx="24">
                  <c:v>18056.431246099997</c:v>
                </c:pt>
                <c:pt idx="25">
                  <c:v>19444.825000766665</c:v>
                </c:pt>
                <c:pt idx="26">
                  <c:v>20006.79739753333</c:v>
                </c:pt>
                <c:pt idx="27">
                  <c:v>21578.943751783328</c:v>
                </c:pt>
                <c:pt idx="28">
                  <c:v>22359.717724233327</c:v>
                </c:pt>
              </c:numCache>
            </c:numRef>
          </c:xVal>
          <c:yVal>
            <c:numRef>
              <c:f>Test1!$G$71:$G$102</c:f>
              <c:numCache>
                <c:formatCode>@</c:formatCode>
                <c:ptCount val="29"/>
                <c:pt idx="0">
                  <c:v>-0.41475400000055596</c:v>
                </c:pt>
                <c:pt idx="1">
                  <c:v>-1.03983100000351</c:v>
                </c:pt>
                <c:pt idx="2">
                  <c:v>-1.4145969999939179</c:v>
                </c:pt>
                <c:pt idx="3">
                  <c:v>-1.2277610000035102</c:v>
                </c:pt>
                <c:pt idx="4">
                  <c:v>-3.1331019999974279</c:v>
                </c:pt>
                <c:pt idx="5">
                  <c:v>-3.3534360000004253</c:v>
                </c:pt>
                <c:pt idx="6">
                  <c:v>-2.6027530000004688</c:v>
                </c:pt>
                <c:pt idx="7">
                  <c:v>-2.7272880000004691</c:v>
                </c:pt>
                <c:pt idx="8">
                  <c:v>-5.1020780000003381</c:v>
                </c:pt>
                <c:pt idx="9">
                  <c:v>-5.4768800000009374</c:v>
                </c:pt>
                <c:pt idx="10">
                  <c:v>-5.6334490000009376</c:v>
                </c:pt>
                <c:pt idx="11">
                  <c:v>-5.9768319999997388</c:v>
                </c:pt>
                <c:pt idx="12">
                  <c:v>-6.4780619999978963</c:v>
                </c:pt>
                <c:pt idx="13">
                  <c:v>-7.0087149999996523</c:v>
                </c:pt>
                <c:pt idx="14">
                  <c:v>-7.4148619999996521</c:v>
                </c:pt>
                <c:pt idx="15">
                  <c:v>-7.5402520000044477</c:v>
                </c:pt>
                <c:pt idx="16">
                  <c:v>-8.6646690000014068</c:v>
                </c:pt>
                <c:pt idx="17">
                  <c:v>-9.3519409999983658</c:v>
                </c:pt>
                <c:pt idx="18">
                  <c:v>-9.5084159999983662</c:v>
                </c:pt>
                <c:pt idx="19">
                  <c:v>-9.7583410000000139</c:v>
                </c:pt>
                <c:pt idx="20">
                  <c:v>-10.195969000000121</c:v>
                </c:pt>
                <c:pt idx="21">
                  <c:v>-11.164683999992283</c:v>
                </c:pt>
                <c:pt idx="22">
                  <c:v>-13.16494900000059</c:v>
                </c:pt>
                <c:pt idx="23">
                  <c:v>-13.352338999995794</c:v>
                </c:pt>
                <c:pt idx="24">
                  <c:v>-14.290008000002345</c:v>
                </c:pt>
                <c:pt idx="25">
                  <c:v>-14.914781000002344</c:v>
                </c:pt>
                <c:pt idx="26">
                  <c:v>-15.258755999999304</c:v>
                </c:pt>
                <c:pt idx="27">
                  <c:v>-16.039808999999856</c:v>
                </c:pt>
                <c:pt idx="28">
                  <c:v>-16.477618999996263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62-4FA0-9F33-E83BE0F06F7D}"/>
            </c:ext>
          </c:extLst>
        </c:ser>
        <c:ser>
          <c:idx val="3"/>
          <c:order val="3"/>
          <c:tx>
            <c:v>#5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Test1!$M$105:$M$136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801.03440495000007</c:v>
                </c:pt>
                <c:pt idx="2">
                  <c:v>1309.2682442666667</c:v>
                </c:pt>
                <c:pt idx="3">
                  <c:v>2714.3327979666665</c:v>
                </c:pt>
                <c:pt idx="4">
                  <c:v>3928.1354020166664</c:v>
                </c:pt>
                <c:pt idx="5">
                  <c:v>4253.3015419499998</c:v>
                </c:pt>
                <c:pt idx="6">
                  <c:v>4786.9666648833336</c:v>
                </c:pt>
                <c:pt idx="7">
                  <c:v>5018.9328005000007</c:v>
                </c:pt>
                <c:pt idx="8">
                  <c:v>5707.6150877666678</c:v>
                </c:pt>
                <c:pt idx="9">
                  <c:v>6239.1822741833348</c:v>
                </c:pt>
                <c:pt idx="10">
                  <c:v>6587.780707433335</c:v>
                </c:pt>
                <c:pt idx="11">
                  <c:v>7154.4473791000019</c:v>
                </c:pt>
                <c:pt idx="12">
                  <c:v>7826.5650939333354</c:v>
                </c:pt>
                <c:pt idx="13">
                  <c:v>8622.3484225000029</c:v>
                </c:pt>
                <c:pt idx="14">
                  <c:v>9228.2827949500024</c:v>
                </c:pt>
                <c:pt idx="15">
                  <c:v>9397.082803283336</c:v>
                </c:pt>
                <c:pt idx="16">
                  <c:v>11281.081234300003</c:v>
                </c:pt>
                <c:pt idx="17">
                  <c:v>12237.182282783337</c:v>
                </c:pt>
                <c:pt idx="18">
                  <c:v>12461.098959116669</c:v>
                </c:pt>
                <c:pt idx="19">
                  <c:v>12856.298950050003</c:v>
                </c:pt>
                <c:pt idx="20">
                  <c:v>13551.648950650002</c:v>
                </c:pt>
                <c:pt idx="21">
                  <c:v>15035.848940300002</c:v>
                </c:pt>
                <c:pt idx="22">
                  <c:v>16386.183846200001</c:v>
                </c:pt>
                <c:pt idx="23">
                  <c:v>16674.034364416668</c:v>
                </c:pt>
                <c:pt idx="24">
                  <c:v>18078.654158766669</c:v>
                </c:pt>
                <c:pt idx="25">
                  <c:v>19442.382791333337</c:v>
                </c:pt>
                <c:pt idx="26">
                  <c:v>20007.548428133337</c:v>
                </c:pt>
                <c:pt idx="27">
                  <c:v>21575.661458216669</c:v>
                </c:pt>
                <c:pt idx="28">
                  <c:v>22356.110927066671</c:v>
                </c:pt>
              </c:numCache>
            </c:numRef>
          </c:xVal>
          <c:yVal>
            <c:numRef>
              <c:f>Test1!$G$105:$G$136</c:f>
              <c:numCache>
                <c:formatCode>@</c:formatCode>
                <c:ptCount val="29"/>
                <c:pt idx="0">
                  <c:v>-0.32148500000055602</c:v>
                </c:pt>
                <c:pt idx="1">
                  <c:v>-0.3847140000065512</c:v>
                </c:pt>
                <c:pt idx="2">
                  <c:v>-0.41535899999695891</c:v>
                </c:pt>
                <c:pt idx="3">
                  <c:v>0.710503</c:v>
                </c:pt>
                <c:pt idx="4">
                  <c:v>-0.44603799999695892</c:v>
                </c:pt>
                <c:pt idx="5">
                  <c:v>-0.41438400000055597</c:v>
                </c:pt>
                <c:pt idx="6">
                  <c:v>0.67886500000000005</c:v>
                </c:pt>
                <c:pt idx="7">
                  <c:v>0.71011000000000002</c:v>
                </c:pt>
                <c:pt idx="8">
                  <c:v>-1.227105999999913</c:v>
                </c:pt>
                <c:pt idx="9">
                  <c:v>-1.258165999998714</c:v>
                </c:pt>
                <c:pt idx="10">
                  <c:v>-1.16440200000351</c:v>
                </c:pt>
                <c:pt idx="11">
                  <c:v>-1.164600999999913</c:v>
                </c:pt>
                <c:pt idx="12">
                  <c:v>-1.2271870000035101</c:v>
                </c:pt>
                <c:pt idx="13">
                  <c:v>-1.2269639999999131</c:v>
                </c:pt>
                <c:pt idx="14">
                  <c:v>-1.28951500000351</c:v>
                </c:pt>
                <c:pt idx="15">
                  <c:v>-1.2897620000035102</c:v>
                </c:pt>
                <c:pt idx="16">
                  <c:v>-1.1963360000035101</c:v>
                </c:pt>
                <c:pt idx="17">
                  <c:v>-1.25862200000351</c:v>
                </c:pt>
                <c:pt idx="18">
                  <c:v>-1.2589190000035102</c:v>
                </c:pt>
                <c:pt idx="19">
                  <c:v>-1.2586199999999881</c:v>
                </c:pt>
                <c:pt idx="20">
                  <c:v>-1.25868900000351</c:v>
                </c:pt>
                <c:pt idx="21">
                  <c:v>-1.2582930000035102</c:v>
                </c:pt>
                <c:pt idx="22">
                  <c:v>-2.3523830000004691</c:v>
                </c:pt>
                <c:pt idx="23">
                  <c:v>-2.3834819999908765</c:v>
                </c:pt>
                <c:pt idx="24">
                  <c:v>-2.5712130000004692</c:v>
                </c:pt>
                <c:pt idx="25">
                  <c:v>-2.2895670000004689</c:v>
                </c:pt>
                <c:pt idx="26">
                  <c:v>-2.2273110000004692</c:v>
                </c:pt>
                <c:pt idx="27">
                  <c:v>-2.0087799999998692</c:v>
                </c:pt>
                <c:pt idx="28">
                  <c:v>-1.9774430000035101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562-4FA0-9F33-E83BE0F06F7D}"/>
            </c:ext>
          </c:extLst>
        </c:ser>
        <c:ser>
          <c:idx val="5"/>
          <c:order val="4"/>
          <c:tx>
            <c:v>#6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Test1!$M$139:$M$170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786.60051438333323</c:v>
                </c:pt>
                <c:pt idx="2">
                  <c:v>1302.7885243999999</c:v>
                </c:pt>
                <c:pt idx="3">
                  <c:v>2657.7390437666663</c:v>
                </c:pt>
                <c:pt idx="4">
                  <c:v>3908.5124775999993</c:v>
                </c:pt>
                <c:pt idx="5">
                  <c:v>4248.454678383333</c:v>
                </c:pt>
                <c:pt idx="6">
                  <c:v>4782.5911391833333</c:v>
                </c:pt>
                <c:pt idx="7">
                  <c:v>4997.4859198499998</c:v>
                </c:pt>
                <c:pt idx="8">
                  <c:v>5682.552582483333</c:v>
                </c:pt>
                <c:pt idx="9">
                  <c:v>6228.9739533833326</c:v>
                </c:pt>
                <c:pt idx="10">
                  <c:v>6566.0979117499992</c:v>
                </c:pt>
                <c:pt idx="11">
                  <c:v>7141.2343643499989</c:v>
                </c:pt>
                <c:pt idx="12">
                  <c:v>7804.953633766665</c:v>
                </c:pt>
                <c:pt idx="13">
                  <c:v>8602.2854110833323</c:v>
                </c:pt>
                <c:pt idx="14">
                  <c:v>9213.2062419666654</c:v>
                </c:pt>
                <c:pt idx="15">
                  <c:v>9384.2187334333321</c:v>
                </c:pt>
                <c:pt idx="16">
                  <c:v>11273.275516233332</c:v>
                </c:pt>
                <c:pt idx="17">
                  <c:v>12211.988521966665</c:v>
                </c:pt>
                <c:pt idx="18">
                  <c:v>12432.034358683331</c:v>
                </c:pt>
                <c:pt idx="19">
                  <c:v>12854.440610366664</c:v>
                </c:pt>
                <c:pt idx="20">
                  <c:v>13551.440606249997</c:v>
                </c:pt>
                <c:pt idx="21">
                  <c:v>15050.873422566663</c:v>
                </c:pt>
                <c:pt idx="22">
                  <c:v>16370.662506149996</c:v>
                </c:pt>
                <c:pt idx="23">
                  <c:v>16658.840093749997</c:v>
                </c:pt>
                <c:pt idx="24">
                  <c:v>18055.160923983331</c:v>
                </c:pt>
                <c:pt idx="25">
                  <c:v>19427.807809799997</c:v>
                </c:pt>
                <c:pt idx="26">
                  <c:v>19995.611456199997</c:v>
                </c:pt>
                <c:pt idx="27">
                  <c:v>21550.155706933328</c:v>
                </c:pt>
                <c:pt idx="28">
                  <c:v>22344.703634899994</c:v>
                </c:pt>
              </c:numCache>
            </c:numRef>
          </c:xVal>
          <c:yVal>
            <c:numRef>
              <c:f>Test1!$G$139:$G$170</c:f>
              <c:numCache>
                <c:formatCode>@</c:formatCode>
                <c:ptCount val="29"/>
                <c:pt idx="0">
                  <c:v>-0.88381400000055599</c:v>
                </c:pt>
                <c:pt idx="1">
                  <c:v>8.4495000000000001E-2</c:v>
                </c:pt>
                <c:pt idx="2">
                  <c:v>0.80430000000000001</c:v>
                </c:pt>
                <c:pt idx="3">
                  <c:v>3.7729500000004688</c:v>
                </c:pt>
                <c:pt idx="4">
                  <c:v>4.3669660000070198</c:v>
                </c:pt>
                <c:pt idx="5">
                  <c:v>4.8352809999998261</c:v>
                </c:pt>
                <c:pt idx="6">
                  <c:v>6.6475269999961419</c:v>
                </c:pt>
                <c:pt idx="7">
                  <c:v>6.9604990000009384</c:v>
                </c:pt>
                <c:pt idx="8">
                  <c:v>5.9604870000003816</c:v>
                </c:pt>
                <c:pt idx="9">
                  <c:v>6.6787110000009378</c:v>
                </c:pt>
                <c:pt idx="10">
                  <c:v>7.2410050000074895</c:v>
                </c:pt>
                <c:pt idx="11">
                  <c:v>8.0540329999996523</c:v>
                </c:pt>
                <c:pt idx="12">
                  <c:v>8.8978640000044482</c:v>
                </c:pt>
                <c:pt idx="13">
                  <c:v>9.9912290000002084</c:v>
                </c:pt>
                <c:pt idx="14">
                  <c:v>10.741217999998366</c:v>
                </c:pt>
                <c:pt idx="15">
                  <c:v>10.991615999998366</c:v>
                </c:pt>
                <c:pt idx="16">
                  <c:v>13.585094000008427</c:v>
                </c:pt>
                <c:pt idx="17">
                  <c:v>14.804344999995793</c:v>
                </c:pt>
                <c:pt idx="18">
                  <c:v>15.054049000002344</c:v>
                </c:pt>
                <c:pt idx="19">
                  <c:v>15.679170999999947</c:v>
                </c:pt>
                <c:pt idx="20">
                  <c:v>16.679186999999303</c:v>
                </c:pt>
                <c:pt idx="21">
                  <c:v>18.710246000002815</c:v>
                </c:pt>
                <c:pt idx="22">
                  <c:v>19.365492999999773</c:v>
                </c:pt>
                <c:pt idx="23">
                  <c:v>19.710208999999772</c:v>
                </c:pt>
                <c:pt idx="24">
                  <c:v>21.460387000003283</c:v>
                </c:pt>
                <c:pt idx="25">
                  <c:v>23.6470559999972</c:v>
                </c:pt>
                <c:pt idx="26">
                  <c:v>24.428675999994159</c:v>
                </c:pt>
                <c:pt idx="27">
                  <c:v>26.773186999999467</c:v>
                </c:pt>
                <c:pt idx="28">
                  <c:v>27.897379999994627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562-4FA0-9F33-E83BE0F06F7D}"/>
            </c:ext>
          </c:extLst>
        </c:ser>
        <c:ser>
          <c:idx val="6"/>
          <c:order val="5"/>
          <c:tx>
            <c:v>#7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Test1!$M$173:$M$204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783.2083236166668</c:v>
                </c:pt>
                <c:pt idx="2">
                  <c:v>1289.4244704666667</c:v>
                </c:pt>
                <c:pt idx="3">
                  <c:v>2693.9593669333335</c:v>
                </c:pt>
                <c:pt idx="4">
                  <c:v>3901.3708168333333</c:v>
                </c:pt>
                <c:pt idx="5">
                  <c:v>4241.0421856333332</c:v>
                </c:pt>
                <c:pt idx="6">
                  <c:v>4760.1567537499996</c:v>
                </c:pt>
                <c:pt idx="7">
                  <c:v>4980.4994749333327</c:v>
                </c:pt>
                <c:pt idx="8">
                  <c:v>5690.6578084499997</c:v>
                </c:pt>
                <c:pt idx="9">
                  <c:v>6209.4911315166664</c:v>
                </c:pt>
                <c:pt idx="10">
                  <c:v>6558.4447839833329</c:v>
                </c:pt>
                <c:pt idx="11">
                  <c:v>7143.7583194999997</c:v>
                </c:pt>
                <c:pt idx="12">
                  <c:v>7790.9041669166663</c:v>
                </c:pt>
                <c:pt idx="13">
                  <c:v>8591.8270799166658</c:v>
                </c:pt>
                <c:pt idx="14">
                  <c:v>9214.4401055833332</c:v>
                </c:pt>
                <c:pt idx="15">
                  <c:v>9373.1177073166673</c:v>
                </c:pt>
                <c:pt idx="16">
                  <c:v>11262.968748633333</c:v>
                </c:pt>
                <c:pt idx="17">
                  <c:v>12201.805206133333</c:v>
                </c:pt>
                <c:pt idx="18">
                  <c:v>12429.614604033333</c:v>
                </c:pt>
                <c:pt idx="19">
                  <c:v>12852.1333316</c:v>
                </c:pt>
                <c:pt idx="20">
                  <c:v>13540.244267233333</c:v>
                </c:pt>
                <c:pt idx="21">
                  <c:v>15043.976555316665</c:v>
                </c:pt>
                <c:pt idx="22">
                  <c:v>16367.067170199998</c:v>
                </c:pt>
                <c:pt idx="23">
                  <c:v>16656.090621633331</c:v>
                </c:pt>
                <c:pt idx="24">
                  <c:v>18033.27758588333</c:v>
                </c:pt>
                <c:pt idx="25">
                  <c:v>19400.644273199996</c:v>
                </c:pt>
                <c:pt idx="26">
                  <c:v>19983.207277849997</c:v>
                </c:pt>
                <c:pt idx="27">
                  <c:v>21555.318221266665</c:v>
                </c:pt>
                <c:pt idx="28">
                  <c:v>22335.773950199997</c:v>
                </c:pt>
              </c:numCache>
            </c:numRef>
          </c:xVal>
          <c:yVal>
            <c:numRef>
              <c:f>Test1!$G$173:$G$204</c:f>
              <c:numCache>
                <c:formatCode>@</c:formatCode>
                <c:ptCount val="29"/>
                <c:pt idx="0">
                  <c:v>-0.57108500000055606</c:v>
                </c:pt>
                <c:pt idx="1">
                  <c:v>0.92904200000000003</c:v>
                </c:pt>
                <c:pt idx="2">
                  <c:v>1.9602509999969588</c:v>
                </c:pt>
                <c:pt idx="3">
                  <c:v>5.8666390000039792</c:v>
                </c:pt>
                <c:pt idx="4">
                  <c:v>7.179456999997897</c:v>
                </c:pt>
                <c:pt idx="5">
                  <c:v>7.8975430000002946</c:v>
                </c:pt>
                <c:pt idx="6">
                  <c:v>10.023027999998366</c:v>
                </c:pt>
                <c:pt idx="7">
                  <c:v>10.460225000007958</c:v>
                </c:pt>
                <c:pt idx="8">
                  <c:v>9.9601440000002075</c:v>
                </c:pt>
                <c:pt idx="9">
                  <c:v>10.960317000003162</c:v>
                </c:pt>
                <c:pt idx="10">
                  <c:v>11.741363000004917</c:v>
                </c:pt>
                <c:pt idx="11">
                  <c:v>12.929169000000078</c:v>
                </c:pt>
                <c:pt idx="12">
                  <c:v>14.178873000005385</c:v>
                </c:pt>
                <c:pt idx="13">
                  <c:v>15.803827999999946</c:v>
                </c:pt>
                <c:pt idx="14">
                  <c:v>17.02244900000106</c:v>
                </c:pt>
                <c:pt idx="15">
                  <c:v>17.366159999996263</c:v>
                </c:pt>
                <c:pt idx="16">
                  <c:v>21.303721000003282</c:v>
                </c:pt>
                <c:pt idx="17">
                  <c:v>23.1161309999972</c:v>
                </c:pt>
                <c:pt idx="18">
                  <c:v>23.552983999997199</c:v>
                </c:pt>
                <c:pt idx="19">
                  <c:v>24.428233999999854</c:v>
                </c:pt>
                <c:pt idx="20">
                  <c:v>25.772628000000712</c:v>
                </c:pt>
                <c:pt idx="21">
                  <c:v>28.835306000001179</c:v>
                </c:pt>
                <c:pt idx="22">
                  <c:v>30.398227999999893</c:v>
                </c:pt>
                <c:pt idx="23">
                  <c:v>30.99126700000469</c:v>
                </c:pt>
                <c:pt idx="24">
                  <c:v>33.772975000005161</c:v>
                </c:pt>
                <c:pt idx="25">
                  <c:v>36.772462999996037</c:v>
                </c:pt>
                <c:pt idx="26">
                  <c:v>37.991888000002589</c:v>
                </c:pt>
                <c:pt idx="27">
                  <c:v>41.335314000000011</c:v>
                </c:pt>
                <c:pt idx="28">
                  <c:v>42.991658000006566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562-4FA0-9F33-E83BE0F06F7D}"/>
            </c:ext>
          </c:extLst>
        </c:ser>
        <c:ser>
          <c:idx val="7"/>
          <c:order val="6"/>
          <c:tx>
            <c:v>#8 Time drfit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Test1!$M$207:$M$238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780.02864776666672</c:v>
                </c:pt>
                <c:pt idx="2">
                  <c:v>1289.4911345</c:v>
                </c:pt>
                <c:pt idx="3">
                  <c:v>2649.9437434166666</c:v>
                </c:pt>
                <c:pt idx="4">
                  <c:v>3908.0854067666669</c:v>
                </c:pt>
                <c:pt idx="5">
                  <c:v>4229.1322845166669</c:v>
                </c:pt>
                <c:pt idx="6">
                  <c:v>4766.9927175833336</c:v>
                </c:pt>
                <c:pt idx="7">
                  <c:v>4989.9406243333333</c:v>
                </c:pt>
                <c:pt idx="8">
                  <c:v>5677.3505091666666</c:v>
                </c:pt>
                <c:pt idx="9">
                  <c:v>6214.7796794666665</c:v>
                </c:pt>
                <c:pt idx="10">
                  <c:v>6558.6588491833336</c:v>
                </c:pt>
                <c:pt idx="11">
                  <c:v>7128.9197770833334</c:v>
                </c:pt>
                <c:pt idx="12">
                  <c:v>7796.9317596833334</c:v>
                </c:pt>
                <c:pt idx="13">
                  <c:v>8602.6088541833342</c:v>
                </c:pt>
                <c:pt idx="14">
                  <c:v>9197.9885333833336</c:v>
                </c:pt>
                <c:pt idx="15">
                  <c:v>9365.0369781499994</c:v>
                </c:pt>
                <c:pt idx="16">
                  <c:v>11251.886975899999</c:v>
                </c:pt>
                <c:pt idx="17">
                  <c:v>12213.34687865</c:v>
                </c:pt>
                <c:pt idx="18">
                  <c:v>12435.811974516666</c:v>
                </c:pt>
                <c:pt idx="19">
                  <c:v>12851.491659716667</c:v>
                </c:pt>
                <c:pt idx="20">
                  <c:v>13532.51926895</c:v>
                </c:pt>
                <c:pt idx="21">
                  <c:v>15031.890097966667</c:v>
                </c:pt>
                <c:pt idx="22">
                  <c:v>16363.465101316668</c:v>
                </c:pt>
                <c:pt idx="23">
                  <c:v>16640.1463558</c:v>
                </c:pt>
                <c:pt idx="24">
                  <c:v>18020.83645975</c:v>
                </c:pt>
                <c:pt idx="25">
                  <c:v>19393.053642999999</c:v>
                </c:pt>
                <c:pt idx="26">
                  <c:v>19976.297911083333</c:v>
                </c:pt>
                <c:pt idx="27">
                  <c:v>21552.632284483334</c:v>
                </c:pt>
                <c:pt idx="28">
                  <c:v>22332.474989800001</c:v>
                </c:pt>
              </c:numCache>
            </c:numRef>
          </c:xVal>
          <c:yVal>
            <c:numRef>
              <c:f>Test1!$G$207:$G$238</c:f>
              <c:numCache>
                <c:formatCode>@</c:formatCode>
                <c:ptCount val="29"/>
                <c:pt idx="0">
                  <c:v>-0.16474799999935696</c:v>
                </c:pt>
                <c:pt idx="1">
                  <c:v>0.116407</c:v>
                </c:pt>
                <c:pt idx="2">
                  <c:v>0.36657000000000001</c:v>
                </c:pt>
                <c:pt idx="3">
                  <c:v>2.21038700000351</c:v>
                </c:pt>
                <c:pt idx="4">
                  <c:v>1.7103859999969588</c:v>
                </c:pt>
                <c:pt idx="5">
                  <c:v>1.8974869999999564</c:v>
                </c:pt>
                <c:pt idx="6">
                  <c:v>3.2720630000004691</c:v>
                </c:pt>
                <c:pt idx="7">
                  <c:v>3.3976280000004691</c:v>
                </c:pt>
                <c:pt idx="8">
                  <c:v>1.8040850000005562</c:v>
                </c:pt>
                <c:pt idx="9">
                  <c:v>2.0540460000035101</c:v>
                </c:pt>
                <c:pt idx="10">
                  <c:v>2.3040749999939178</c:v>
                </c:pt>
                <c:pt idx="11">
                  <c:v>2.6481429999999131</c:v>
                </c:pt>
                <c:pt idx="12">
                  <c:v>2.9293549999939179</c:v>
                </c:pt>
                <c:pt idx="13">
                  <c:v>3.3039209999992698</c:v>
                </c:pt>
                <c:pt idx="14">
                  <c:v>3.522869000000469</c:v>
                </c:pt>
                <c:pt idx="15">
                  <c:v>3.616333000000469</c:v>
                </c:pt>
                <c:pt idx="16">
                  <c:v>4.6164820000070197</c:v>
                </c:pt>
                <c:pt idx="17">
                  <c:v>5.0225310000039789</c:v>
                </c:pt>
                <c:pt idx="18">
                  <c:v>5.1165270000039786</c:v>
                </c:pt>
                <c:pt idx="19">
                  <c:v>5.3351869999997827</c:v>
                </c:pt>
                <c:pt idx="20">
                  <c:v>5.6788689999991826</c:v>
                </c:pt>
                <c:pt idx="21">
                  <c:v>6.4292010000009379</c:v>
                </c:pt>
                <c:pt idx="22">
                  <c:v>5.9289729999991829</c:v>
                </c:pt>
                <c:pt idx="23">
                  <c:v>6.0538660000009381</c:v>
                </c:pt>
                <c:pt idx="24">
                  <c:v>6.647717000000938</c:v>
                </c:pt>
                <c:pt idx="25">
                  <c:v>7.6163050000074888</c:v>
                </c:pt>
                <c:pt idx="26">
                  <c:v>7.9602119999978971</c:v>
                </c:pt>
                <c:pt idx="27">
                  <c:v>8.8978179999996527</c:v>
                </c:pt>
                <c:pt idx="28">
                  <c:v>9.3353540000014075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562-4FA0-9F33-E83BE0F06F7D}"/>
            </c:ext>
          </c:extLst>
        </c:ser>
        <c:ser>
          <c:idx val="8"/>
          <c:order val="7"/>
          <c:tx>
            <c:v>#1 Time drift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Test1!$M$241:$M$280</c:f>
              <c:numCache>
                <c:formatCode>@</c:formatCode>
                <c:ptCount val="29"/>
                <c:pt idx="0" formatCode="General">
                  <c:v>0</c:v>
                </c:pt>
                <c:pt idx="1">
                  <c:v>800.23384713333348</c:v>
                </c:pt>
                <c:pt idx="2">
                  <c:v>1304.7926969000002</c:v>
                </c:pt>
                <c:pt idx="3">
                  <c:v>2656.665628716667</c:v>
                </c:pt>
                <c:pt idx="4">
                  <c:v>3911.2557236333337</c:v>
                </c:pt>
                <c:pt idx="5">
                  <c:v>4257.6776076333335</c:v>
                </c:pt>
                <c:pt idx="6">
                  <c:v>4779.6531223333332</c:v>
                </c:pt>
                <c:pt idx="7">
                  <c:v>4995.6229051</c:v>
                </c:pt>
                <c:pt idx="8">
                  <c:v>5687.1176983333335</c:v>
                </c:pt>
                <c:pt idx="9">
                  <c:v>6238.1937532499996</c:v>
                </c:pt>
                <c:pt idx="10">
                  <c:v>6556.1479387666659</c:v>
                </c:pt>
                <c:pt idx="11">
                  <c:v>7140.7593740999991</c:v>
                </c:pt>
                <c:pt idx="12">
                  <c:v>7800.4739537499991</c:v>
                </c:pt>
                <c:pt idx="13">
                  <c:v>8616.4041543166659</c:v>
                </c:pt>
                <c:pt idx="14">
                  <c:v>9201.0161419666656</c:v>
                </c:pt>
                <c:pt idx="15">
                  <c:v>9398.485937649999</c:v>
                </c:pt>
                <c:pt idx="16">
                  <c:v>11267.049475366666</c:v>
                </c:pt>
                <c:pt idx="17">
                  <c:v>12225.099492699999</c:v>
                </c:pt>
                <c:pt idx="18">
                  <c:v>12447.221351383332</c:v>
                </c:pt>
                <c:pt idx="19">
                  <c:v>12849.644271816665</c:v>
                </c:pt>
                <c:pt idx="20">
                  <c:v>13537.723947683333</c:v>
                </c:pt>
                <c:pt idx="21">
                  <c:v>15054.498961666666</c:v>
                </c:pt>
                <c:pt idx="22">
                  <c:v>16367.056759033332</c:v>
                </c:pt>
                <c:pt idx="23">
                  <c:v>16672.212508099998</c:v>
                </c:pt>
                <c:pt idx="24">
                  <c:v>18059.369799316664</c:v>
                </c:pt>
                <c:pt idx="25">
                  <c:v>19421.238012949998</c:v>
                </c:pt>
                <c:pt idx="26">
                  <c:v>20000.831239683332</c:v>
                </c:pt>
                <c:pt idx="27">
                  <c:v>21554.736459</c:v>
                </c:pt>
                <c:pt idx="28">
                  <c:v>22357.735949483333</c:v>
                </c:pt>
              </c:numCache>
            </c:numRef>
          </c:xVal>
          <c:yVal>
            <c:numRef>
              <c:f>Test1!$G$241:$G$280</c:f>
              <c:numCache>
                <c:formatCode>@</c:formatCode>
                <c:ptCount val="29"/>
                <c:pt idx="0">
                  <c:v>-0.63366399999935696</c:v>
                </c:pt>
                <c:pt idx="1">
                  <c:v>-1.6646580000035101</c:v>
                </c:pt>
                <c:pt idx="2">
                  <c:v>-2.1957820000004689</c:v>
                </c:pt>
                <c:pt idx="3">
                  <c:v>-2.5712070000004692</c:v>
                </c:pt>
                <c:pt idx="4">
                  <c:v>-4.9772660000039792</c:v>
                </c:pt>
                <c:pt idx="5">
                  <c:v>-5.2900110000003382</c:v>
                </c:pt>
                <c:pt idx="6">
                  <c:v>-4.8212299999991828</c:v>
                </c:pt>
                <c:pt idx="7">
                  <c:v>-5.0081439999913453</c:v>
                </c:pt>
                <c:pt idx="8">
                  <c:v>-7.6956860000002525</c:v>
                </c:pt>
                <c:pt idx="9">
                  <c:v>-8.258789000001407</c:v>
                </c:pt>
                <c:pt idx="10">
                  <c:v>-8.5091560000014077</c:v>
                </c:pt>
                <c:pt idx="11">
                  <c:v>-9.1961689999995642</c:v>
                </c:pt>
                <c:pt idx="12">
                  <c:v>-10.070768000004916</c:v>
                </c:pt>
                <c:pt idx="13">
                  <c:v>-10.88314400000012</c:v>
                </c:pt>
                <c:pt idx="14">
                  <c:v>-11.60206199999708</c:v>
                </c:pt>
                <c:pt idx="15">
                  <c:v>-11.789768999992283</c:v>
                </c:pt>
                <c:pt idx="16">
                  <c:v>-13.602435000005386</c:v>
                </c:pt>
                <c:pt idx="17">
                  <c:v>-14.603082000002345</c:v>
                </c:pt>
                <c:pt idx="18">
                  <c:v>-14.914675000002346</c:v>
                </c:pt>
                <c:pt idx="19">
                  <c:v>-15.289811000000054</c:v>
                </c:pt>
                <c:pt idx="20">
                  <c:v>-16.071378999996263</c:v>
                </c:pt>
                <c:pt idx="21">
                  <c:v>-17.571277999993221</c:v>
                </c:pt>
                <c:pt idx="22">
                  <c:v>-20.039878000003284</c:v>
                </c:pt>
                <c:pt idx="23">
                  <c:v>-20.383750000003282</c:v>
                </c:pt>
                <c:pt idx="24">
                  <c:v>-21.821465000000241</c:v>
                </c:pt>
                <c:pt idx="25">
                  <c:v>-22.914594999997199</c:v>
                </c:pt>
                <c:pt idx="26">
                  <c:v>-23.508243000003752</c:v>
                </c:pt>
                <c:pt idx="27">
                  <c:v>-24.821136000000109</c:v>
                </c:pt>
                <c:pt idx="28">
                  <c:v>-25.79039199999767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562-4FA0-9F33-E83BE0F06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560735"/>
        <c:axId val="849494383"/>
      </c:scatterChart>
      <c:valAx>
        <c:axId val="85956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494383"/>
        <c:crosses val="autoZero"/>
        <c:crossBetween val="midCat"/>
      </c:valAx>
      <c:valAx>
        <c:axId val="84949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560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095322003839853"/>
          <c:y val="0.15035743519382183"/>
          <c:w val="0.30238790346946243"/>
          <c:h val="0.797335270111769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Interval scatter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Interval scatter</a:t>
          </a:r>
        </a:p>
      </cx:txPr>
    </cx:title>
    <cx:plotArea>
      <cx:plotAreaRegion>
        <cx:series layoutId="clusteredColumn" uniqueId="{00000003-6F37-49FD-BBC6-2B9CBF0074FA}">
          <cx:tx>
            <cx:txData>
              <cx:f/>
              <cx:v>Turnover points</cx:v>
            </cx:txData>
          </cx:tx>
          <cx:dataId val="0"/>
          <cx:layoutPr>
            <cx:binning intervalClosed="r">
              <cx:binSize val="0.015630000000000002"/>
            </cx:binning>
          </cx:layoutPr>
        </cx:series>
      </cx:plotAreaRegion>
      <cx:axis id="0">
        <cx:catScaling gapWidth="0"/>
        <cx:majorGridlines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Intervals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Intervals</a:t>
          </a:r>
        </a:p>
      </cx:txPr>
    </cx:title>
    <cx:plotArea>
      <cx:plotAreaRegion>
        <cx:series layoutId="clusteredColumn" uniqueId="{A9BB9440-1DA5-4CA8-8F0C-1D98B9BDE211}">
          <cx:dataId val="0"/>
          <cx:layoutPr>
            <cx:binning intervalClosed="r">
              <cx:binSize val="0.015630000000000002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Intervals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Intervals</a:t>
          </a:r>
        </a:p>
      </cx:txPr>
    </cx:title>
    <cx:plotArea>
      <cx:plotAreaRegion>
        <cx:series layoutId="clusteredColumn" uniqueId="{A9BB9440-1DA5-4CA8-8F0C-1D98B9BDE211}">
          <cx:dataId val="0"/>
          <cx:layoutPr>
            <cx:binning intervalClosed="r">
              <cx:binSize val="0.01563000000000000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All intervals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All intervals</a:t>
          </a:r>
        </a:p>
      </cx:txPr>
    </cx:title>
    <cx:plotArea>
      <cx:plotAreaRegion>
        <cx:series layoutId="clusteredColumn" uniqueId="{4B0950FC-A4C1-4992-B6A2-8E7EC513C87E}" formatIdx="0">
          <cx:tx>
            <cx:txData>
              <cx:f/>
              <cx:v>Test1</cx:v>
            </cx:txData>
          </cx:tx>
          <cx:dataId val="0"/>
          <cx:layoutPr>
            <cx:binning intervalClosed="r">
              <cx:binSize val="0.01563000000000000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chart" Target="../charts/chart18.xml"/><Relationship Id="rId4" Type="http://schemas.openxmlformats.org/officeDocument/2006/relationships/chart" Target="../charts/chart13.xml"/><Relationship Id="rId9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microsoft.com/office/2014/relationships/chartEx" Target="../charts/chartEx4.xml"/><Relationship Id="rId5" Type="http://schemas.openxmlformats.org/officeDocument/2006/relationships/chart" Target="../charts/chart23.xml"/><Relationship Id="rId10" Type="http://schemas.openxmlformats.org/officeDocument/2006/relationships/chart" Target="../charts/chart27.xml"/><Relationship Id="rId4" Type="http://schemas.openxmlformats.org/officeDocument/2006/relationships/chart" Target="../charts/chart22.xml"/><Relationship Id="rId9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176211</xdr:colOff>
      <xdr:row>1</xdr:row>
      <xdr:rowOff>28574</xdr:rowOff>
    </xdr:from>
    <xdr:to>
      <xdr:col>17</xdr:col>
      <xdr:colOff>9524</xdr:colOff>
      <xdr:row>17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CE3AB9-F06E-2DCF-56BD-2BDFEED1B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964565</xdr:colOff>
      <xdr:row>1</xdr:row>
      <xdr:rowOff>120803</xdr:rowOff>
    </xdr:from>
    <xdr:to>
      <xdr:col>23</xdr:col>
      <xdr:colOff>1316653</xdr:colOff>
      <xdr:row>17</xdr:row>
      <xdr:rowOff>120803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EE399A0-5E3A-D42F-5163-AC6412B33B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68078" y="301778"/>
              <a:ext cx="4266863" cy="289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432218</xdr:colOff>
      <xdr:row>25</xdr:row>
      <xdr:rowOff>133530</xdr:rowOff>
    </xdr:from>
    <xdr:to>
      <xdr:col>17</xdr:col>
      <xdr:colOff>264182</xdr:colOff>
      <xdr:row>41</xdr:row>
      <xdr:rowOff>145032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7E2565-EAE9-B373-D4E8-057DC7CB8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432219</xdr:colOff>
      <xdr:row>48</xdr:row>
      <xdr:rowOff>138022</xdr:rowOff>
    </xdr:from>
    <xdr:to>
      <xdr:col>17</xdr:col>
      <xdr:colOff>264183</xdr:colOff>
      <xdr:row>64</xdr:row>
      <xdr:rowOff>149524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175676-135E-EB0A-86A0-F9A2253C5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289276</xdr:colOff>
      <xdr:row>73</xdr:row>
      <xdr:rowOff>15256</xdr:rowOff>
    </xdr:from>
    <xdr:to>
      <xdr:col>17</xdr:col>
      <xdr:colOff>120824</xdr:colOff>
      <xdr:row>89</xdr:row>
      <xdr:rowOff>6790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E6C77B-42FD-60F4-E05D-B9F6619F0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659696</xdr:colOff>
      <xdr:row>96</xdr:row>
      <xdr:rowOff>156369</xdr:rowOff>
    </xdr:from>
    <xdr:to>
      <xdr:col>17</xdr:col>
      <xdr:colOff>491244</xdr:colOff>
      <xdr:row>112</xdr:row>
      <xdr:rowOff>147902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253759-987A-1EED-BB68-6B2F408AD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461256</xdr:colOff>
      <xdr:row>121</xdr:row>
      <xdr:rowOff>90222</xdr:rowOff>
    </xdr:from>
    <xdr:to>
      <xdr:col>17</xdr:col>
      <xdr:colOff>292804</xdr:colOff>
      <xdr:row>137</xdr:row>
      <xdr:rowOff>81756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E802C3-6693-B79C-0845-25C1616EE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602367</xdr:colOff>
      <xdr:row>143</xdr:row>
      <xdr:rowOff>63764</xdr:rowOff>
    </xdr:from>
    <xdr:to>
      <xdr:col>17</xdr:col>
      <xdr:colOff>433915</xdr:colOff>
      <xdr:row>159</xdr:row>
      <xdr:rowOff>55297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F6352B-4AB7-35E4-990E-E8B779D23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423489</xdr:colOff>
      <xdr:row>23</xdr:row>
      <xdr:rowOff>41145</xdr:rowOff>
    </xdr:from>
    <xdr:to>
      <xdr:col>27</xdr:col>
      <xdr:colOff>1747337</xdr:colOff>
      <xdr:row>41</xdr:row>
      <xdr:rowOff>143954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18BBEF6-2B94-F4ED-B56E-EF64512D2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890836</xdr:colOff>
      <xdr:row>22</xdr:row>
      <xdr:rowOff>68878</xdr:rowOff>
    </xdr:from>
    <xdr:to>
      <xdr:col>34</xdr:col>
      <xdr:colOff>318667</xdr:colOff>
      <xdr:row>43</xdr:row>
      <xdr:rowOff>105755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6DAFE78-7B1B-B63D-2BE2-CA2951568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20685</xdr:colOff>
      <xdr:row>0</xdr:row>
      <xdr:rowOff>57151</xdr:rowOff>
    </xdr:from>
    <xdr:to>
      <xdr:col>21</xdr:col>
      <xdr:colOff>388215</xdr:colOff>
      <xdr:row>15</xdr:row>
      <xdr:rowOff>58306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BEAD1E-BF45-0DF1-C987-AB825B2B3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35117</xdr:colOff>
      <xdr:row>24</xdr:row>
      <xdr:rowOff>114876</xdr:rowOff>
    </xdr:from>
    <xdr:to>
      <xdr:col>21</xdr:col>
      <xdr:colOff>402647</xdr:colOff>
      <xdr:row>39</xdr:row>
      <xdr:rowOff>116031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371B031-2A28-AE4C-C371-90D739C3E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56764</xdr:colOff>
      <xdr:row>48</xdr:row>
      <xdr:rowOff>100445</xdr:rowOff>
    </xdr:from>
    <xdr:to>
      <xdr:col>21</xdr:col>
      <xdr:colOff>424294</xdr:colOff>
      <xdr:row>63</xdr:row>
      <xdr:rowOff>101599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87679A5-E8C2-FA15-06EC-910154E60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549558</xdr:colOff>
      <xdr:row>72</xdr:row>
      <xdr:rowOff>93895</xdr:rowOff>
    </xdr:from>
    <xdr:to>
      <xdr:col>21</xdr:col>
      <xdr:colOff>271149</xdr:colOff>
      <xdr:row>87</xdr:row>
      <xdr:rowOff>108022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2AC9A2-EE55-76A5-658C-E95ED6279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5012</xdr:colOff>
      <xdr:row>95</xdr:row>
      <xdr:rowOff>179972</xdr:rowOff>
    </xdr:from>
    <xdr:to>
      <xdr:col>21</xdr:col>
      <xdr:colOff>386012</xdr:colOff>
      <xdr:row>111</xdr:row>
      <xdr:rowOff>35593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9EFE0D0-213F-8680-C7FB-9365A7302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621629</xdr:colOff>
      <xdr:row>120</xdr:row>
      <xdr:rowOff>9525</xdr:rowOff>
    </xdr:from>
    <xdr:to>
      <xdr:col>21</xdr:col>
      <xdr:colOff>355932</xdr:colOff>
      <xdr:row>135</xdr:row>
      <xdr:rowOff>45620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4178082-95C7-DA26-C91E-CD7A0D3F2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55144</xdr:colOff>
      <xdr:row>144</xdr:row>
      <xdr:rowOff>39602</xdr:rowOff>
    </xdr:from>
    <xdr:to>
      <xdr:col>21</xdr:col>
      <xdr:colOff>436144</xdr:colOff>
      <xdr:row>159</xdr:row>
      <xdr:rowOff>75697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CEEC2BD-9C1C-5BAF-11EE-82AF4446B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45118</xdr:colOff>
      <xdr:row>168</xdr:row>
      <xdr:rowOff>14538</xdr:rowOff>
    </xdr:from>
    <xdr:to>
      <xdr:col>21</xdr:col>
      <xdr:colOff>426118</xdr:colOff>
      <xdr:row>183</xdr:row>
      <xdr:rowOff>50633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C8AFE7F-0022-3930-4109-55BC7BA6D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10027</xdr:colOff>
      <xdr:row>14</xdr:row>
      <xdr:rowOff>25064</xdr:rowOff>
    </xdr:from>
    <xdr:to>
      <xdr:col>27</xdr:col>
      <xdr:colOff>165435</xdr:colOff>
      <xdr:row>29</xdr:row>
      <xdr:rowOff>61159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B4FD4173-CB2F-4758-BB4B-C6F020DF27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779665" y="2558714"/>
              <a:ext cx="4570245" cy="2750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649134</xdr:colOff>
      <xdr:row>33</xdr:row>
      <xdr:rowOff>179408</xdr:rowOff>
    </xdr:from>
    <xdr:to>
      <xdr:col>28</xdr:col>
      <xdr:colOff>773090</xdr:colOff>
      <xdr:row>51</xdr:row>
      <xdr:rowOff>42404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47B36-7FB8-4ACD-A444-18F226815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20685</xdr:colOff>
      <xdr:row>0</xdr:row>
      <xdr:rowOff>57151</xdr:rowOff>
    </xdr:from>
    <xdr:to>
      <xdr:col>21</xdr:col>
      <xdr:colOff>388215</xdr:colOff>
      <xdr:row>15</xdr:row>
      <xdr:rowOff>58306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D0D8C-40FB-46BF-B73A-906149AD8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630431</xdr:colOff>
      <xdr:row>34</xdr:row>
      <xdr:rowOff>44321</xdr:rowOff>
    </xdr:from>
    <xdr:to>
      <xdr:col>21</xdr:col>
      <xdr:colOff>349731</xdr:colOff>
      <xdr:row>49</xdr:row>
      <xdr:rowOff>45476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18C05D-5BBE-4D85-9B68-39020F78E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634438</xdr:colOff>
      <xdr:row>67</xdr:row>
      <xdr:rowOff>166590</xdr:rowOff>
    </xdr:from>
    <xdr:to>
      <xdr:col>21</xdr:col>
      <xdr:colOff>353738</xdr:colOff>
      <xdr:row>82</xdr:row>
      <xdr:rowOff>167745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949B47-BE3F-47D6-8957-BA18ED7C8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7161</xdr:colOff>
      <xdr:row>102</xdr:row>
      <xdr:rowOff>14521</xdr:rowOff>
    </xdr:from>
    <xdr:to>
      <xdr:col>21</xdr:col>
      <xdr:colOff>376982</xdr:colOff>
      <xdr:row>117</xdr:row>
      <xdr:rowOff>28648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7B5D8F-95C7-4921-922D-A8FF294E7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603</xdr:colOff>
      <xdr:row>136</xdr:row>
      <xdr:rowOff>3585</xdr:rowOff>
    </xdr:from>
    <xdr:to>
      <xdr:col>21</xdr:col>
      <xdr:colOff>381603</xdr:colOff>
      <xdr:row>151</xdr:row>
      <xdr:rowOff>40003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2C4EEA-3406-47BC-875F-948145564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8676</xdr:colOff>
      <xdr:row>170</xdr:row>
      <xdr:rowOff>13935</xdr:rowOff>
    </xdr:from>
    <xdr:to>
      <xdr:col>21</xdr:col>
      <xdr:colOff>391209</xdr:colOff>
      <xdr:row>185</xdr:row>
      <xdr:rowOff>50030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EA0479B-3D79-4985-A9A6-8FB0BE44F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2227</xdr:colOff>
      <xdr:row>204</xdr:row>
      <xdr:rowOff>4324</xdr:rowOff>
    </xdr:from>
    <xdr:to>
      <xdr:col>21</xdr:col>
      <xdr:colOff>383227</xdr:colOff>
      <xdr:row>219</xdr:row>
      <xdr:rowOff>40420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7A0C8C-0E45-4A0E-94B7-8A734C39E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9841</xdr:colOff>
      <xdr:row>237</xdr:row>
      <xdr:rowOff>173288</xdr:rowOff>
    </xdr:from>
    <xdr:to>
      <xdr:col>21</xdr:col>
      <xdr:colOff>390841</xdr:colOff>
      <xdr:row>253</xdr:row>
      <xdr:rowOff>28584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95503CF-748A-49D1-99AA-0C2400B79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10027</xdr:colOff>
      <xdr:row>14</xdr:row>
      <xdr:rowOff>25064</xdr:rowOff>
    </xdr:from>
    <xdr:to>
      <xdr:col>27</xdr:col>
      <xdr:colOff>165435</xdr:colOff>
      <xdr:row>29</xdr:row>
      <xdr:rowOff>61159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4E402897-4E0E-4852-B8A8-F47E311B5B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55890" y="2558714"/>
              <a:ext cx="5908508" cy="2750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649134</xdr:colOff>
      <xdr:row>33</xdr:row>
      <xdr:rowOff>179408</xdr:rowOff>
    </xdr:from>
    <xdr:to>
      <xdr:col>28</xdr:col>
      <xdr:colOff>773090</xdr:colOff>
      <xdr:row>51</xdr:row>
      <xdr:rowOff>42404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E1ECABD-6A54-4DF9-926E-A04EA6047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7145</xdr:colOff>
      <xdr:row>14</xdr:row>
      <xdr:rowOff>19050</xdr:rowOff>
    </xdr:from>
    <xdr:to>
      <xdr:col>33</xdr:col>
      <xdr:colOff>473870</xdr:colOff>
      <xdr:row>29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0653EA11-833E-1A86-DF08-980CD8D42A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82570" y="2552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FA11-3769-4E0D-A440-A12062CE5708}">
  <dimension ref="A1:AP327"/>
  <sheetViews>
    <sheetView topLeftCell="A12" zoomScaleNormal="137" workbookViewId="0">
      <selection activeCell="A21" sqref="A21"/>
    </sheetView>
  </sheetViews>
  <sheetFormatPr defaultRowHeight="14.25" x14ac:dyDescent="0.45"/>
  <cols>
    <col min="1" max="1" width="22.796875" customWidth="1"/>
    <col min="2" max="2" width="16.33203125" customWidth="1"/>
    <col min="4" max="4" width="24.6640625" customWidth="1"/>
    <col min="5" max="5" width="24.1328125" customWidth="1"/>
    <col min="6" max="6" width="17.86328125" customWidth="1"/>
    <col min="7" max="7" width="10.73046875" customWidth="1"/>
    <col min="8" max="8" width="24.46484375" customWidth="1"/>
    <col min="9" max="9" width="25.46484375" customWidth="1"/>
    <col min="10" max="10" width="17.73046875" customWidth="1"/>
    <col min="11" max="11" width="17.9296875" customWidth="1"/>
    <col min="12" max="12" width="16.1328125" customWidth="1"/>
    <col min="13" max="13" width="24.1328125" customWidth="1"/>
    <col min="14" max="14" width="17.73046875" customWidth="1"/>
    <col min="15" max="15" width="13.265625" customWidth="1"/>
    <col min="16" max="16" width="24.33203125" customWidth="1"/>
    <col min="17" max="17" width="24.59765625" customWidth="1"/>
    <col min="18" max="18" width="19.796875" customWidth="1"/>
    <col min="19" max="19" width="17.59765625" customWidth="1"/>
    <col min="20" max="20" width="24.59765625" customWidth="1"/>
    <col min="21" max="21" width="24.9296875" customWidth="1"/>
    <col min="22" max="22" width="18" customWidth="1"/>
    <col min="23" max="23" width="11.86328125" customWidth="1"/>
    <col min="24" max="24" width="24.59765625" customWidth="1"/>
    <col min="25" max="25" width="15.73046875" customWidth="1"/>
    <col min="26" max="26" width="18.19921875" customWidth="1"/>
    <col min="27" max="27" width="11.3984375" customWidth="1"/>
    <col min="28" max="28" width="24.59765625" customWidth="1"/>
    <col min="29" max="29" width="24.1328125" customWidth="1"/>
    <col min="30" max="30" width="17.86328125" customWidth="1"/>
    <col min="32" max="32" width="24.1328125" customWidth="1"/>
    <col min="33" max="33" width="23.59765625" customWidth="1"/>
    <col min="34" max="34" width="17.796875" customWidth="1"/>
  </cols>
  <sheetData>
    <row r="1" spans="1:42" x14ac:dyDescent="0.45">
      <c r="A1" s="9" t="s">
        <v>0</v>
      </c>
      <c r="B1" s="9" t="s">
        <v>1</v>
      </c>
      <c r="C1" s="1"/>
      <c r="D1" s="12" t="str">
        <f>("№"&amp;B3&amp;" - "&amp;A3)</f>
        <v>№2 - Blue tape</v>
      </c>
      <c r="E1" s="12"/>
      <c r="F1" s="12"/>
      <c r="G1" s="12"/>
      <c r="H1" s="13"/>
      <c r="I1" s="13"/>
      <c r="J1" s="13"/>
      <c r="K1" s="13"/>
      <c r="L1" s="13"/>
      <c r="M1" s="13"/>
      <c r="N1" s="13"/>
      <c r="Y1" s="35">
        <v>0</v>
      </c>
      <c r="Z1" s="23">
        <v>0</v>
      </c>
      <c r="AA1" s="25">
        <v>0</v>
      </c>
      <c r="AB1" s="25">
        <v>0</v>
      </c>
      <c r="AC1" s="27">
        <v>0</v>
      </c>
      <c r="AD1" s="27">
        <v>0</v>
      </c>
      <c r="AE1" s="29">
        <v>0</v>
      </c>
      <c r="AF1" s="29">
        <v>0</v>
      </c>
      <c r="AG1" s="14">
        <v>0</v>
      </c>
      <c r="AH1" s="14">
        <v>0</v>
      </c>
      <c r="AI1" s="32">
        <v>0</v>
      </c>
      <c r="AJ1" s="32">
        <v>0</v>
      </c>
      <c r="AK1" s="20">
        <v>0</v>
      </c>
      <c r="AL1" s="20">
        <v>0</v>
      </c>
      <c r="AM1" s="33">
        <v>0</v>
      </c>
      <c r="AN1" s="33">
        <v>0</v>
      </c>
      <c r="AO1" s="34">
        <v>0</v>
      </c>
      <c r="AP1" s="34">
        <v>0</v>
      </c>
    </row>
    <row r="2" spans="1:42" x14ac:dyDescent="0.45">
      <c r="A2" s="9" t="s">
        <v>13</v>
      </c>
      <c r="B2" s="9">
        <v>1</v>
      </c>
      <c r="C2" s="1"/>
      <c r="D2" s="12" t="s">
        <v>8</v>
      </c>
      <c r="E2" s="12" t="s">
        <v>9</v>
      </c>
      <c r="F2" s="12" t="s">
        <v>10</v>
      </c>
      <c r="G2" s="12" t="s">
        <v>346</v>
      </c>
      <c r="H2" s="12" t="s">
        <v>222</v>
      </c>
      <c r="I2" s="12" t="s">
        <v>223</v>
      </c>
      <c r="J2" s="12" t="s">
        <v>224</v>
      </c>
      <c r="K2" s="12" t="s">
        <v>225</v>
      </c>
      <c r="L2" s="12" t="s">
        <v>345</v>
      </c>
      <c r="M2" s="12" t="s">
        <v>344</v>
      </c>
      <c r="N2" s="12" t="s">
        <v>10</v>
      </c>
      <c r="Y2" s="35">
        <v>1.5313789999938763</v>
      </c>
      <c r="Z2" s="23">
        <v>104.62448163333333</v>
      </c>
      <c r="AA2" s="25">
        <v>1.1569499999968684</v>
      </c>
      <c r="AB2" s="25">
        <v>77.997398266666721</v>
      </c>
      <c r="AC2" s="27">
        <v>1.1569499999968684</v>
      </c>
      <c r="AD2" s="27">
        <v>77.997398266666721</v>
      </c>
      <c r="AE2" s="29">
        <v>2.1880380000034165</v>
      </c>
      <c r="AF2" s="29">
        <v>83.313542933333352</v>
      </c>
      <c r="AG2" s="14">
        <v>1.4689550000066447</v>
      </c>
      <c r="AH2" s="14">
        <v>96.342179883333358</v>
      </c>
      <c r="AI2" s="32">
        <v>1.6870750000034604</v>
      </c>
      <c r="AJ2" s="32">
        <v>100.98855598333334</v>
      </c>
      <c r="AK2" s="20">
        <v>1.8441969999939829</v>
      </c>
      <c r="AL2" s="20">
        <v>104.73593795000012</v>
      </c>
      <c r="AM2" s="33">
        <v>1.7418909999937569</v>
      </c>
      <c r="AN2" s="33">
        <v>111.20416545000012</v>
      </c>
      <c r="AO2" s="34">
        <v>1.2502250000007962</v>
      </c>
      <c r="AP2" s="34">
        <v>87.912490833333337</v>
      </c>
    </row>
    <row r="3" spans="1:42" x14ac:dyDescent="0.45">
      <c r="A3" s="9" t="s">
        <v>14</v>
      </c>
      <c r="B3" s="9">
        <v>2</v>
      </c>
      <c r="C3" s="1"/>
      <c r="D3" s="2" t="s">
        <v>11</v>
      </c>
      <c r="E3" s="2" t="s">
        <v>12</v>
      </c>
      <c r="F3" s="1" t="s">
        <v>217</v>
      </c>
      <c r="G3" s="4">
        <f t="shared" ref="G3:G19" si="0">(DATEVALUE(LEFT(E3, 10))-DATEVALUE(LEFT(D3, 10))) * 86400 + (TIMEVALUE(MID(E3, 12, 8)) - TIMEVALUE(MID(D3, 12, 8))) * 86400 + (VALUE(RIGHT(E3, 6)) - VALUE(RIGHT(D3, 6))) / 1000000</f>
        <v>863.7727690000039</v>
      </c>
      <c r="J3" s="6"/>
      <c r="K3" s="3">
        <f>((MAX(G3:G25)-MIN(G3:G25))/SUM(H4:H25)) * 60</f>
        <v>0.84065638870564696</v>
      </c>
      <c r="L3" s="3">
        <f>((FLOOR(MAX(G3:G25), 1)-FLOOR(MIN(G3:G25), 1))/SUM(H4:H25)) * 60</f>
        <v>0.84437162982320646</v>
      </c>
      <c r="M3" s="6">
        <v>0</v>
      </c>
      <c r="N3">
        <f>(MID(F3, 2, 7) + MID(F3, 12, 8)) / 2</f>
        <v>0.22723100000000002</v>
      </c>
      <c r="Y3" s="35">
        <v>2.6246940000004315</v>
      </c>
      <c r="Z3" s="23">
        <v>181.48959604999996</v>
      </c>
      <c r="AA3" s="25">
        <v>2.2818580000034672</v>
      </c>
      <c r="AB3" s="25">
        <v>154.96198173333337</v>
      </c>
      <c r="AC3" s="27">
        <v>2.2818580000034672</v>
      </c>
      <c r="AD3" s="27">
        <v>154.96198173333337</v>
      </c>
      <c r="AE3" s="29">
        <v>2.3749679999941691</v>
      </c>
      <c r="AF3" s="29">
        <v>159.57709756666674</v>
      </c>
      <c r="AG3" s="14">
        <v>2.5303290000033485</v>
      </c>
      <c r="AH3" s="14">
        <v>164.75782366666664</v>
      </c>
      <c r="AI3" s="32">
        <v>2.8431200000004537</v>
      </c>
      <c r="AJ3" s="32">
        <v>170.56928806666673</v>
      </c>
      <c r="AK3" s="20">
        <v>3.0629639999908704</v>
      </c>
      <c r="AL3" s="20">
        <v>175.61562075000006</v>
      </c>
      <c r="AM3" s="33">
        <v>2.9059419999907732</v>
      </c>
      <c r="AN3" s="33">
        <v>184.5515601333334</v>
      </c>
      <c r="AO3" s="34">
        <v>9.1877439999980197</v>
      </c>
      <c r="AP3" s="34">
        <v>661.03019995</v>
      </c>
    </row>
    <row r="4" spans="1:42" x14ac:dyDescent="0.45">
      <c r="A4" s="9" t="s">
        <v>2</v>
      </c>
      <c r="B4" s="9">
        <v>3</v>
      </c>
      <c r="C4" s="1"/>
      <c r="D4" s="2" t="s">
        <v>32</v>
      </c>
      <c r="E4" s="2" t="s">
        <v>33</v>
      </c>
      <c r="F4" s="1" t="s">
        <v>34</v>
      </c>
      <c r="G4" s="4">
        <f t="shared" si="0"/>
        <v>865.30414799999778</v>
      </c>
      <c r="H4" s="3">
        <f t="shared" ref="H4:H12" si="1">((DATEVALUE(LEFT(D4,10))-DATEVALUE(LEFT(D3,10)))*86400+(TIMEVALUE(MID(D4,12,8))-TIMEVALUE(MID(D3,12,8)))*86400+(VALUE(RIGHT(D4,6))-VALUE(RIGHT(D3,6)))/1000000)/ 60</f>
        <v>104.62448163333333</v>
      </c>
      <c r="I4" s="3">
        <f>(G4 - G3) / H4 * 60</f>
        <v>0.87821453033951047</v>
      </c>
      <c r="J4" s="7">
        <f>(FLOOR(G4, 1) - FLOOR(G3, 1)) / H4 * 60</f>
        <v>1.1469590876497879</v>
      </c>
      <c r="L4" s="3"/>
      <c r="M4" s="7">
        <f>M3 + H4</f>
        <v>104.62448163333333</v>
      </c>
      <c r="N4">
        <f t="shared" ref="N4:N19" si="2">(MID(F4, 2, 7) + MID(F4, 12, 8)) / 2</f>
        <v>0.69584749999999995</v>
      </c>
      <c r="Y4" s="35">
        <v>3.5295799999973951</v>
      </c>
      <c r="Z4" s="23">
        <v>242.89119909999997</v>
      </c>
      <c r="AA4" s="25">
        <v>3.1877520000002733</v>
      </c>
      <c r="AB4" s="25">
        <v>216.2635558166667</v>
      </c>
      <c r="AC4" s="27">
        <v>3.1877520000002733</v>
      </c>
      <c r="AD4" s="27">
        <v>216.2635558166667</v>
      </c>
      <c r="AE4" s="29">
        <v>3.2813540000006469</v>
      </c>
      <c r="AF4" s="29">
        <v>220.96199099999995</v>
      </c>
      <c r="AG4" s="14">
        <v>3.4688650000002781</v>
      </c>
      <c r="AH4" s="14">
        <v>225.75884895000007</v>
      </c>
      <c r="AI4" s="32">
        <v>3.9059549999979026</v>
      </c>
      <c r="AJ4" s="32">
        <v>234.30156851666669</v>
      </c>
      <c r="AK4" s="20">
        <v>4.1878979999944477</v>
      </c>
      <c r="AL4" s="20">
        <v>239.01354158333345</v>
      </c>
      <c r="AM4" s="33">
        <v>3.8745719999874382</v>
      </c>
      <c r="AN4" s="33">
        <v>245.83542866666676</v>
      </c>
      <c r="AO4" s="34"/>
      <c r="AP4" s="34"/>
    </row>
    <row r="5" spans="1:42" x14ac:dyDescent="0.45">
      <c r="A5" s="9" t="s">
        <v>3</v>
      </c>
      <c r="B5" s="9">
        <v>4</v>
      </c>
      <c r="C5" s="1"/>
      <c r="D5" s="2" t="s">
        <v>51</v>
      </c>
      <c r="E5" s="2" t="s">
        <v>52</v>
      </c>
      <c r="F5" s="1" t="s">
        <v>53</v>
      </c>
      <c r="G5" s="4">
        <f t="shared" si="0"/>
        <v>866.39746300000434</v>
      </c>
      <c r="H5" s="3">
        <f t="shared" si="1"/>
        <v>76.865114416666628</v>
      </c>
      <c r="I5" s="3">
        <f t="shared" ref="I5:I12" si="3">(G5 - G4) / H5 * 60</f>
        <v>0.85342876932177614</v>
      </c>
      <c r="J5" s="7">
        <f t="shared" ref="J5:J12" si="4">(FLOOR(G5, 1) - FLOOR(G4, 1)) / H5 * 60</f>
        <v>0.7805881830183059</v>
      </c>
      <c r="K5" t="s">
        <v>340</v>
      </c>
      <c r="L5" t="s">
        <v>341</v>
      </c>
      <c r="M5" s="7">
        <f t="shared" ref="M5:M11" si="5">M4 + H5</f>
        <v>181.48959604999996</v>
      </c>
      <c r="N5">
        <f t="shared" si="2"/>
        <v>0.60253599999999996</v>
      </c>
      <c r="Y5" s="35">
        <v>7.5313499999961095</v>
      </c>
      <c r="Z5" s="23">
        <v>524.5578207166667</v>
      </c>
      <c r="AA5" s="25">
        <v>7.3129490000028454</v>
      </c>
      <c r="AB5" s="25">
        <v>498.77812689999996</v>
      </c>
      <c r="AC5" s="27">
        <v>7.3129490000028454</v>
      </c>
      <c r="AD5" s="27">
        <v>498.77812689999996</v>
      </c>
      <c r="AE5" s="29">
        <v>7.3984949999990022</v>
      </c>
      <c r="AF5" s="29">
        <v>503.95989774999993</v>
      </c>
      <c r="AG5" s="14">
        <v>7.7810570000019652</v>
      </c>
      <c r="AH5" s="14">
        <v>508.75364188333339</v>
      </c>
      <c r="AI5" s="32">
        <v>8.593383999998423</v>
      </c>
      <c r="AJ5" s="32">
        <v>515.95678256666667</v>
      </c>
      <c r="AK5" s="20">
        <v>9.0935859999954118</v>
      </c>
      <c r="AL5" s="20">
        <v>522.31511500000011</v>
      </c>
      <c r="AM5" s="33">
        <v>8.3431089999930919</v>
      </c>
      <c r="AN5" s="33">
        <v>529.59428361666676</v>
      </c>
      <c r="AO5" s="34"/>
      <c r="AP5" s="34"/>
    </row>
    <row r="6" spans="1:42" x14ac:dyDescent="0.45">
      <c r="A6" s="9" t="s">
        <v>4</v>
      </c>
      <c r="B6" s="9">
        <v>5</v>
      </c>
      <c r="C6" s="1"/>
      <c r="D6" s="2" t="s">
        <v>71</v>
      </c>
      <c r="E6" s="2" t="s">
        <v>72</v>
      </c>
      <c r="F6" s="1" t="s">
        <v>73</v>
      </c>
      <c r="G6" s="4">
        <f t="shared" si="0"/>
        <v>867.3023490000013</v>
      </c>
      <c r="H6" s="3">
        <f t="shared" si="1"/>
        <v>61.401603050000013</v>
      </c>
      <c r="I6" s="3">
        <f t="shared" si="3"/>
        <v>0.88423033443615939</v>
      </c>
      <c r="J6" s="7">
        <f t="shared" si="4"/>
        <v>0.97717318473169712</v>
      </c>
      <c r="K6" s="3">
        <f>(MAX(G3:G24)/(DATEDIF(VALUE(DATE(2000 + MID(B12, 1, 2), MID(B12, 4, 2), MID(B12, 7, 2))),VALUE(MID(D3, 1, 10)),"d")*(60*24)+(TIMEVALUE(MID(D3,12,8))-TIMEVALUE(RIGHT(B12,8))*24*60+MID(D3,21,6)/86400000+MAX(M3:M25)))) * 60</f>
        <v>0.86333517082724964</v>
      </c>
      <c r="L6" s="3">
        <f>(MIN(G3:G24)/(DATEDIF(VALUE(DATE(2000 + MID(B12, 1, 2), MID(B12, 4, 2), MID(B12, 7, 2))),VALUE(MID(D3, 1, 10)),"d")*(60*24)+(TIMEVALUE(MID(D3,12,8))-TIMEVALUE(RIGHT(B12,8))*24*60+MID(D3,21,6)/86400000))) * 60</f>
        <v>0.86716409015991713</v>
      </c>
      <c r="M6" s="7">
        <f t="shared" si="5"/>
        <v>242.89119909999997</v>
      </c>
      <c r="N6">
        <f t="shared" si="2"/>
        <v>0.71171699999999993</v>
      </c>
      <c r="Y6" s="35">
        <v>14.124963999995657</v>
      </c>
      <c r="Z6" s="23">
        <v>1142.5812605833335</v>
      </c>
      <c r="AA6" s="25">
        <v>14.094822000005479</v>
      </c>
      <c r="AB6" s="25">
        <v>1116.3650999166666</v>
      </c>
      <c r="AC6" s="27">
        <v>14.094822000005479</v>
      </c>
      <c r="AD6" s="27">
        <v>1116.3650999166666</v>
      </c>
      <c r="AE6" s="29">
        <v>14.186932000000979</v>
      </c>
      <c r="AF6" s="29">
        <v>1122.3302392999999</v>
      </c>
      <c r="AG6" s="14">
        <v>14.999542000002293</v>
      </c>
      <c r="AH6" s="14">
        <v>1127.3333443166666</v>
      </c>
      <c r="AI6" s="32">
        <v>16.593444000001455</v>
      </c>
      <c r="AJ6" s="32">
        <v>1131.9567879333333</v>
      </c>
      <c r="AK6" s="20">
        <v>17.437664999998105</v>
      </c>
      <c r="AL6" s="20">
        <v>1136.4093722500002</v>
      </c>
      <c r="AM6" s="33">
        <v>15.781116999989536</v>
      </c>
      <c r="AN6" s="33">
        <v>1143.3703121000001</v>
      </c>
      <c r="AO6" s="34"/>
      <c r="AP6" s="34"/>
    </row>
    <row r="7" spans="1:42" x14ac:dyDescent="0.45">
      <c r="A7" s="9" t="s">
        <v>5</v>
      </c>
      <c r="B7" s="9">
        <v>6</v>
      </c>
      <c r="C7" s="1"/>
      <c r="D7" s="2" t="s">
        <v>93</v>
      </c>
      <c r="E7" s="2" t="s">
        <v>94</v>
      </c>
      <c r="F7" s="1" t="s">
        <v>92</v>
      </c>
      <c r="G7" s="3">
        <f t="shared" si="0"/>
        <v>871.30411900000001</v>
      </c>
      <c r="H7" s="3">
        <f t="shared" si="1"/>
        <v>281.6666216166667</v>
      </c>
      <c r="I7" s="3">
        <f t="shared" si="3"/>
        <v>0.8524481836782728</v>
      </c>
      <c r="J7" s="7">
        <f t="shared" si="4"/>
        <v>0.85207114219812397</v>
      </c>
      <c r="M7" s="7">
        <f t="shared" si="5"/>
        <v>524.5578207166667</v>
      </c>
      <c r="N7">
        <f t="shared" si="2"/>
        <v>0.69587949999999998</v>
      </c>
      <c r="Y7" s="35">
        <v>15.687031999999135</v>
      </c>
      <c r="Z7" s="23">
        <v>1251.1885548833334</v>
      </c>
      <c r="AA7" s="25">
        <v>15.625510000002123</v>
      </c>
      <c r="AB7" s="25">
        <v>1220.4395884666667</v>
      </c>
      <c r="AC7" s="27">
        <v>15.625510000002123</v>
      </c>
      <c r="AD7" s="27">
        <v>1220.4395884666667</v>
      </c>
      <c r="AE7" s="29">
        <v>15.625582000002396</v>
      </c>
      <c r="AF7" s="29">
        <v>1220.2562467333332</v>
      </c>
      <c r="AG7" s="14">
        <v>16.405601000009028</v>
      </c>
      <c r="AH7" s="14">
        <v>1220.8932508666667</v>
      </c>
      <c r="AI7" s="32">
        <v>18.061904000003324</v>
      </c>
      <c r="AJ7" s="32">
        <v>1220.1323139833332</v>
      </c>
      <c r="AK7" s="20">
        <v>18.844352999990178</v>
      </c>
      <c r="AL7" s="20">
        <v>1217.8192600000002</v>
      </c>
      <c r="AM7" s="33">
        <v>16.906394999996337</v>
      </c>
      <c r="AN7" s="33">
        <v>1215.7348949666666</v>
      </c>
      <c r="AO7" s="34"/>
      <c r="AP7" s="34"/>
    </row>
    <row r="8" spans="1:42" x14ac:dyDescent="0.45">
      <c r="A8" s="9" t="s">
        <v>6</v>
      </c>
      <c r="B8" s="9">
        <v>7</v>
      </c>
      <c r="C8" s="1"/>
      <c r="D8" s="2" t="s">
        <v>112</v>
      </c>
      <c r="E8" s="2" t="s">
        <v>113</v>
      </c>
      <c r="F8" s="1" t="s">
        <v>114</v>
      </c>
      <c r="G8" s="5">
        <f t="shared" si="0"/>
        <v>877.89773299999956</v>
      </c>
      <c r="H8" s="3">
        <f t="shared" si="1"/>
        <v>618.02343986666665</v>
      </c>
      <c r="I8" s="3">
        <f t="shared" si="3"/>
        <v>0.64013241971101265</v>
      </c>
      <c r="J8" s="7">
        <f t="shared" si="4"/>
        <v>0.58250217836020424</v>
      </c>
      <c r="K8" s="8" t="s">
        <v>995</v>
      </c>
      <c r="M8" s="7">
        <f t="shared" si="5"/>
        <v>1142.5812605833335</v>
      </c>
      <c r="N8">
        <f t="shared" si="2"/>
        <v>0.10226450000000001</v>
      </c>
      <c r="Y8" s="35">
        <v>16.562141999996243</v>
      </c>
      <c r="Z8" s="23">
        <v>1313.2739665333334</v>
      </c>
      <c r="AA8" s="25">
        <v>16.532012000008763</v>
      </c>
      <c r="AB8" s="25">
        <v>1282.3578105666666</v>
      </c>
      <c r="AC8" s="27">
        <v>16.532012000008763</v>
      </c>
      <c r="AD8" s="27">
        <v>1282.3578105666666</v>
      </c>
      <c r="AE8" s="29">
        <v>16.562422999999399</v>
      </c>
      <c r="AF8" s="29">
        <v>1283.4239766833332</v>
      </c>
      <c r="AG8" s="14">
        <v>17.343647000005603</v>
      </c>
      <c r="AH8" s="14">
        <v>1282.5942732333333</v>
      </c>
      <c r="AI8" s="32">
        <v>18.936919000000216</v>
      </c>
      <c r="AJ8" s="32">
        <v>1273.5510602999998</v>
      </c>
      <c r="AK8" s="20">
        <v>19.811683999996831</v>
      </c>
      <c r="AL8" s="20">
        <v>1273.2031627666668</v>
      </c>
      <c r="AM8" s="33">
        <v>17.811689999993177</v>
      </c>
      <c r="AN8" s="33">
        <v>1274.4198119833334</v>
      </c>
      <c r="AO8" s="34"/>
      <c r="AP8" s="34"/>
    </row>
    <row r="9" spans="1:42" x14ac:dyDescent="0.45">
      <c r="A9" s="9" t="s">
        <v>7</v>
      </c>
      <c r="B9" s="9">
        <v>8</v>
      </c>
      <c r="C9" s="1"/>
      <c r="D9" s="2" t="s">
        <v>149</v>
      </c>
      <c r="E9" s="2" t="s">
        <v>150</v>
      </c>
      <c r="F9" s="1" t="s">
        <v>151</v>
      </c>
      <c r="G9" s="5">
        <f t="shared" si="0"/>
        <v>879.45980100000304</v>
      </c>
      <c r="H9" s="3">
        <f t="shared" si="1"/>
        <v>108.60729429999995</v>
      </c>
      <c r="I9" s="3">
        <f t="shared" si="3"/>
        <v>0.86296303212673564</v>
      </c>
      <c r="J9" s="7">
        <f t="shared" si="4"/>
        <v>1.104898163363969</v>
      </c>
      <c r="K9">
        <f>_xlfn.STDEV.P(I4:I24)</f>
        <v>5.5660860043903138E-2</v>
      </c>
      <c r="M9" s="7">
        <f t="shared" si="5"/>
        <v>1251.1885548833334</v>
      </c>
      <c r="N9">
        <f t="shared" si="2"/>
        <v>0.54019700000000004</v>
      </c>
      <c r="Y9" s="35">
        <v>19.625031999996622</v>
      </c>
      <c r="Z9" s="23">
        <v>1528.25626005</v>
      </c>
      <c r="AA9" s="25">
        <v>19.687983999999688</v>
      </c>
      <c r="AB9" s="25">
        <v>1497.7552174833334</v>
      </c>
      <c r="AC9" s="27">
        <v>19.687983999999688</v>
      </c>
      <c r="AD9" s="27">
        <v>1497.7552174833334</v>
      </c>
      <c r="AE9" s="29">
        <v>19.719005999999808</v>
      </c>
      <c r="AF9" s="29">
        <v>1498.9213573333332</v>
      </c>
      <c r="AG9" s="14">
        <v>20.656141999996635</v>
      </c>
      <c r="AH9" s="14">
        <v>1499.9890671666667</v>
      </c>
      <c r="AI9" s="32">
        <v>22.686350999997103</v>
      </c>
      <c r="AJ9" s="32">
        <v>1500.7718875166665</v>
      </c>
      <c r="AK9" s="20">
        <v>23.749843999994255</v>
      </c>
      <c r="AL9" s="20">
        <v>1501.2708341333337</v>
      </c>
      <c r="AM9" s="33">
        <v>21.406346000000212</v>
      </c>
      <c r="AN9" s="33">
        <v>1503.2432249666667</v>
      </c>
      <c r="AO9" s="34"/>
      <c r="AP9" s="34"/>
    </row>
    <row r="10" spans="1:42" x14ac:dyDescent="0.45">
      <c r="A10" s="10" t="s">
        <v>338</v>
      </c>
      <c r="B10" s="11" t="s">
        <v>339</v>
      </c>
      <c r="D10" s="3" t="s">
        <v>172</v>
      </c>
      <c r="E10" s="3" t="s">
        <v>173</v>
      </c>
      <c r="F10" s="1" t="s">
        <v>174</v>
      </c>
      <c r="G10" s="5">
        <f t="shared" si="0"/>
        <v>880.33491100000015</v>
      </c>
      <c r="H10" s="3">
        <f t="shared" si="1"/>
        <v>62.085411650000005</v>
      </c>
      <c r="I10" s="3">
        <f t="shared" si="3"/>
        <v>0.84571558123552271</v>
      </c>
      <c r="J10" s="7">
        <f t="shared" si="4"/>
        <v>0.96641060122535227</v>
      </c>
      <c r="M10" s="7">
        <f t="shared" si="5"/>
        <v>1313.2739665333334</v>
      </c>
      <c r="N10">
        <f t="shared" si="2"/>
        <v>0.66508800000000001</v>
      </c>
      <c r="Y10" s="35">
        <v>36.906033000002481</v>
      </c>
      <c r="Z10" s="23">
        <v>2733.2849083000001</v>
      </c>
      <c r="AA10" s="25">
        <v>37.312901000002512</v>
      </c>
      <c r="AB10" s="25">
        <v>2702.0114649500001</v>
      </c>
      <c r="AC10" s="27">
        <v>37.312901000002512</v>
      </c>
      <c r="AD10" s="27">
        <v>2702.0114649500001</v>
      </c>
      <c r="AE10" s="29">
        <v>37.312924000002567</v>
      </c>
      <c r="AF10" s="29">
        <v>2702.6114603999999</v>
      </c>
      <c r="AG10" s="14">
        <v>39.031296000006023</v>
      </c>
      <c r="AH10" s="14">
        <v>2703.0994769666668</v>
      </c>
      <c r="AI10" s="32">
        <v>42.71856799999432</v>
      </c>
      <c r="AJ10" s="32">
        <v>2702.8713600333331</v>
      </c>
      <c r="AK10" s="20">
        <v>44.500025999997433</v>
      </c>
      <c r="AL10" s="20">
        <v>2702.5083403500003</v>
      </c>
      <c r="AM10" s="33">
        <v>40.374693999994633</v>
      </c>
      <c r="AN10" s="33">
        <v>2704.1604259000001</v>
      </c>
      <c r="AO10" s="34"/>
      <c r="AP10" s="34"/>
    </row>
    <row r="11" spans="1:42" x14ac:dyDescent="0.45">
      <c r="A11" s="10" t="str">
        <f>("№"&amp;B2&amp;" - "&amp;A2)</f>
        <v>№1 - Nothing</v>
      </c>
      <c r="B11" s="11" t="s">
        <v>339</v>
      </c>
      <c r="D11" s="3" t="s">
        <v>193</v>
      </c>
      <c r="E11" s="3" t="s">
        <v>194</v>
      </c>
      <c r="F11" s="1" t="s">
        <v>195</v>
      </c>
      <c r="G11" s="5">
        <f t="shared" si="0"/>
        <v>883.39780100000053</v>
      </c>
      <c r="H11" s="3">
        <f t="shared" si="1"/>
        <v>214.98229351666674</v>
      </c>
      <c r="I11" s="3">
        <f t="shared" si="3"/>
        <v>0.85483040018723933</v>
      </c>
      <c r="J11" s="7">
        <f t="shared" si="4"/>
        <v>0.83727825699303604</v>
      </c>
      <c r="M11" s="7">
        <f t="shared" si="5"/>
        <v>1528.25626005</v>
      </c>
      <c r="N11">
        <f t="shared" si="2"/>
        <v>0.60219800000000001</v>
      </c>
      <c r="Y11" s="35">
        <v>38.719076999996446</v>
      </c>
      <c r="Z11" s="23">
        <v>2857.6713579500001</v>
      </c>
      <c r="AA11" s="25">
        <v>39.156852000005983</v>
      </c>
      <c r="AB11" s="25">
        <v>2826.0307353666667</v>
      </c>
      <c r="AC11" s="27">
        <v>39.156852000005983</v>
      </c>
      <c r="AD11" s="27">
        <v>2826.0307353666667</v>
      </c>
      <c r="AE11" s="29">
        <v>39.156845000006342</v>
      </c>
      <c r="AF11" s="29">
        <v>2825.7973940666666</v>
      </c>
      <c r="AG11" s="14">
        <v>40.90635199999997</v>
      </c>
      <c r="AH11" s="14">
        <v>2824.3182224833336</v>
      </c>
      <c r="AI11" s="32">
        <v>44.750052999997934</v>
      </c>
      <c r="AJ11" s="32">
        <v>2823.5374986499996</v>
      </c>
      <c r="AK11" s="20">
        <v>46.593968999991375</v>
      </c>
      <c r="AL11" s="20">
        <v>2821.6234388000003</v>
      </c>
      <c r="AM11" s="33">
        <v>42.249897999994118</v>
      </c>
      <c r="AN11" s="33">
        <v>2820.8125029833336</v>
      </c>
      <c r="AO11" s="34"/>
      <c r="AP11" s="34"/>
    </row>
    <row r="12" spans="1:42" x14ac:dyDescent="0.45">
      <c r="A12" s="11" t="str">
        <f t="shared" ref="A12:A18" si="6">("№"&amp;B3&amp;" - "&amp;A3)</f>
        <v>№2 - Blue tape</v>
      </c>
      <c r="B12" s="11" t="s">
        <v>311</v>
      </c>
      <c r="D12" s="3" t="s">
        <v>214</v>
      </c>
      <c r="E12" s="3" t="s">
        <v>215</v>
      </c>
      <c r="F12" s="1" t="s">
        <v>216</v>
      </c>
      <c r="G12" s="5">
        <f t="shared" si="0"/>
        <v>900.67880200000639</v>
      </c>
      <c r="H12" s="3">
        <f t="shared" si="1"/>
        <v>1205.0286482500001</v>
      </c>
      <c r="I12" s="3">
        <f t="shared" si="3"/>
        <v>0.86044432346577737</v>
      </c>
      <c r="J12" s="7">
        <f t="shared" si="4"/>
        <v>0.84645290506685678</v>
      </c>
      <c r="K12" s="6"/>
      <c r="M12" s="7">
        <f t="shared" ref="M12:M17" si="7">M11 + H12</f>
        <v>2733.2849083000001</v>
      </c>
      <c r="N12">
        <f t="shared" si="2"/>
        <v>0.32119449999999999</v>
      </c>
      <c r="Y12" s="35">
        <v>47.562266999996609</v>
      </c>
      <c r="Z12" s="23">
        <v>3470.9573107333335</v>
      </c>
      <c r="AA12" s="25">
        <v>48.251094000002922</v>
      </c>
      <c r="AB12" s="25">
        <v>3444.0791586666669</v>
      </c>
      <c r="AC12" s="27">
        <v>48.251094000002922</v>
      </c>
      <c r="AD12" s="27">
        <v>3444.0791586666669</v>
      </c>
      <c r="AE12" s="29">
        <v>48.218993999998929</v>
      </c>
      <c r="AF12" s="29">
        <v>3443.1296923333334</v>
      </c>
      <c r="AG12" s="14">
        <v>50.406141000002208</v>
      </c>
      <c r="AH12" s="14">
        <v>3443.0265677500001</v>
      </c>
      <c r="AI12" s="32">
        <v>55.093502999998691</v>
      </c>
      <c r="AJ12" s="32">
        <v>3443.5317796166664</v>
      </c>
      <c r="AK12" s="20">
        <v>57.375134999995225</v>
      </c>
      <c r="AL12" s="20">
        <v>3442.8270886</v>
      </c>
      <c r="AM12" s="33">
        <v>52.093831999992744</v>
      </c>
      <c r="AN12" s="33">
        <v>3443.415105016667</v>
      </c>
      <c r="AO12" s="34"/>
      <c r="AP12" s="34"/>
    </row>
    <row r="13" spans="1:42" x14ac:dyDescent="0.45">
      <c r="A13" s="11" t="str">
        <f t="shared" si="6"/>
        <v>№3 - ACCZERO PBRC</v>
      </c>
      <c r="B13" s="11" t="s">
        <v>333</v>
      </c>
      <c r="D13" s="3" t="s">
        <v>244</v>
      </c>
      <c r="E13" s="3" t="s">
        <v>245</v>
      </c>
      <c r="F13" s="1" t="s">
        <v>246</v>
      </c>
      <c r="G13" s="5">
        <f t="shared" si="0"/>
        <v>902.49184600000035</v>
      </c>
      <c r="H13" s="3">
        <f t="shared" ref="H13:H18" si="8">((DATEVALUE(LEFT(D13,10))-DATEVALUE(LEFT(D12,10)))*86400+(TIMEVALUE(MID(D13,12,8))-TIMEVALUE(MID(D12,12,8)))*86400+(VALUE(RIGHT(D13,6))-VALUE(RIGHT(D12,6)))/1000000)/ 60</f>
        <v>124.38644965</v>
      </c>
      <c r="I13" s="3">
        <f t="shared" ref="I13:I18" si="9">(G13 - G12) / H13 * 60</f>
        <v>0.87455378223055436</v>
      </c>
      <c r="J13" s="7">
        <f t="shared" ref="J13:J18" si="10">(FLOOR(G13, 1) - FLOOR(G12, 1)) / H13 * 60</f>
        <v>0.96473530949438102</v>
      </c>
      <c r="K13" s="6"/>
      <c r="M13" s="7">
        <f t="shared" si="7"/>
        <v>2857.6713579500001</v>
      </c>
      <c r="N13">
        <f t="shared" si="2"/>
        <v>0.50815049999999995</v>
      </c>
      <c r="P13" s="3"/>
      <c r="Q13" s="3"/>
      <c r="T13" s="3"/>
      <c r="U13" s="3"/>
      <c r="Y13" s="35">
        <v>56.781004999999254</v>
      </c>
      <c r="Z13" s="23">
        <v>4115.6536581666669</v>
      </c>
      <c r="AA13" s="25">
        <v>57.688608000008571</v>
      </c>
      <c r="AB13" s="26">
        <v>4089.8052021333333</v>
      </c>
      <c r="AC13" s="28">
        <v>57.688608000008571</v>
      </c>
      <c r="AD13" s="27">
        <v>4089.8052021333333</v>
      </c>
      <c r="AE13" s="29">
        <v>57.750101999999515</v>
      </c>
      <c r="AF13" s="30">
        <v>4095.9375138333335</v>
      </c>
      <c r="AG13" s="31">
        <v>60.437551000009535</v>
      </c>
      <c r="AH13" s="14">
        <v>4101.0927109833337</v>
      </c>
      <c r="AI13" s="32">
        <v>66.124647999997705</v>
      </c>
      <c r="AJ13" s="32">
        <v>4106.6479267666664</v>
      </c>
      <c r="AK13" s="20">
        <v>69.062906000001476</v>
      </c>
      <c r="AL13" s="20">
        <v>4119.0822911499999</v>
      </c>
      <c r="AM13" s="33">
        <v>62.905784999995376</v>
      </c>
      <c r="AN13" s="33">
        <v>4127.0015756000003</v>
      </c>
      <c r="AO13" s="34"/>
      <c r="AP13" s="34"/>
    </row>
    <row r="14" spans="1:42" x14ac:dyDescent="0.45">
      <c r="A14" s="11" t="str">
        <f t="shared" si="6"/>
        <v>№4 - IMGCOF</v>
      </c>
      <c r="B14" s="11" t="s">
        <v>334</v>
      </c>
      <c r="D14" s="3" t="s">
        <v>262</v>
      </c>
      <c r="E14" s="3" t="s">
        <v>263</v>
      </c>
      <c r="F14" s="1" t="s">
        <v>261</v>
      </c>
      <c r="G14" s="5">
        <f t="shared" si="0"/>
        <v>911.33503600000051</v>
      </c>
      <c r="H14" s="3">
        <f t="shared" si="8"/>
        <v>613.2859527833333</v>
      </c>
      <c r="I14" s="3">
        <f t="shared" si="9"/>
        <v>0.86516150841540873</v>
      </c>
      <c r="J14" s="7">
        <f t="shared" si="10"/>
        <v>0.88050280223975008</v>
      </c>
      <c r="K14" s="6"/>
      <c r="M14" s="7">
        <f t="shared" si="7"/>
        <v>3470.9573107333335</v>
      </c>
      <c r="N14">
        <f t="shared" si="2"/>
        <v>0.68075949999999996</v>
      </c>
      <c r="P14" s="3"/>
      <c r="Q14" s="3"/>
      <c r="T14" s="3"/>
      <c r="U14" s="3"/>
      <c r="Y14" s="35">
        <v>65.593767999991087</v>
      </c>
      <c r="Z14" s="23">
        <v>4725.5234434833337</v>
      </c>
      <c r="AA14" s="25">
        <v>66.687446000000364</v>
      </c>
      <c r="AB14" s="26">
        <v>4701.5885738333336</v>
      </c>
      <c r="AC14" s="28">
        <v>66.687446000000364</v>
      </c>
      <c r="AD14" s="27">
        <v>4701.5885738333336</v>
      </c>
      <c r="AE14" s="29">
        <v>66.781311000001097</v>
      </c>
      <c r="AF14" s="30">
        <v>4708.6369836000003</v>
      </c>
      <c r="AG14" s="31">
        <v>69.875463000010768</v>
      </c>
      <c r="AH14" s="14">
        <v>4713.8520715833338</v>
      </c>
      <c r="AI14" s="32">
        <v>76.436950999996498</v>
      </c>
      <c r="AJ14" s="32">
        <v>4722.1593955166663</v>
      </c>
      <c r="AK14" s="20">
        <v>79.625176999996484</v>
      </c>
      <c r="AL14" s="20">
        <v>4726.5395898999996</v>
      </c>
      <c r="AM14" s="33">
        <v>72.529891999998654</v>
      </c>
      <c r="AN14" s="33">
        <v>4733.5078560000002</v>
      </c>
      <c r="AO14" s="34"/>
      <c r="AP14" s="34"/>
    </row>
    <row r="15" spans="1:42" x14ac:dyDescent="0.45">
      <c r="A15" s="11" t="str">
        <f t="shared" si="6"/>
        <v>№5 - ERR15</v>
      </c>
      <c r="B15" s="11" t="s">
        <v>336</v>
      </c>
      <c r="D15" s="3" t="s">
        <v>268</v>
      </c>
      <c r="E15" s="3" t="s">
        <v>269</v>
      </c>
      <c r="F15" s="1" t="s">
        <v>270</v>
      </c>
      <c r="G15" s="5">
        <f t="shared" si="0"/>
        <v>920.55377400000316</v>
      </c>
      <c r="H15" s="3">
        <f t="shared" si="8"/>
        <v>644.69634743333336</v>
      </c>
      <c r="I15" s="3">
        <f t="shared" si="9"/>
        <v>0.85796093339485857</v>
      </c>
      <c r="J15" s="7">
        <f t="shared" si="10"/>
        <v>0.83760362866929416</v>
      </c>
      <c r="K15" s="6"/>
      <c r="M15" s="7">
        <f t="shared" si="7"/>
        <v>4115.6536581666669</v>
      </c>
      <c r="N15">
        <f t="shared" si="2"/>
        <v>0.44622600000000001</v>
      </c>
      <c r="P15" s="3"/>
      <c r="Q15" s="3"/>
      <c r="T15" s="3"/>
      <c r="U15" s="3"/>
      <c r="Y15" s="35">
        <v>76.812418999995998</v>
      </c>
      <c r="Z15" s="23">
        <v>5506.953129616667</v>
      </c>
      <c r="AA15" s="25">
        <v>78.031981000002816</v>
      </c>
      <c r="AB15" s="26">
        <v>5476.4494735500002</v>
      </c>
      <c r="AC15" s="28">
        <v>78.031981000002816</v>
      </c>
      <c r="AD15" s="27">
        <v>5476.4494735500002</v>
      </c>
      <c r="AE15" s="29">
        <v>78.031535000002805</v>
      </c>
      <c r="AF15" s="30">
        <v>5477.5828173833333</v>
      </c>
      <c r="AG15" s="31">
        <v>81.562302000003001</v>
      </c>
      <c r="AH15" s="14">
        <v>5478.2573003166672</v>
      </c>
      <c r="AI15" s="32">
        <v>89.030972000002748</v>
      </c>
      <c r="AJ15" s="32">
        <v>5478.3494921666661</v>
      </c>
      <c r="AK15" s="20">
        <v>92.656443999995417</v>
      </c>
      <c r="AL15" s="20">
        <v>5478.5057268</v>
      </c>
      <c r="AM15" s="33">
        <v>84.311427999990883</v>
      </c>
      <c r="AN15" s="33">
        <v>5480.4114927333339</v>
      </c>
      <c r="AO15" s="34"/>
      <c r="AP15" s="34"/>
    </row>
    <row r="16" spans="1:42" x14ac:dyDescent="0.45">
      <c r="A16" s="11" t="str">
        <f t="shared" si="6"/>
        <v>№6 - IMG COR LSU</v>
      </c>
      <c r="B16" s="11" t="s">
        <v>337</v>
      </c>
      <c r="D16" s="3" t="s">
        <v>289</v>
      </c>
      <c r="E16" s="3" t="s">
        <v>290</v>
      </c>
      <c r="F16" s="1" t="s">
        <v>291</v>
      </c>
      <c r="G16" s="5">
        <f t="shared" si="0"/>
        <v>929.36653699999499</v>
      </c>
      <c r="H16" s="3">
        <f t="shared" si="8"/>
        <v>609.86978531666671</v>
      </c>
      <c r="I16" s="3">
        <f t="shared" si="9"/>
        <v>0.8670142262006888</v>
      </c>
      <c r="J16" s="7">
        <f t="shared" si="10"/>
        <v>0.88543491250285866</v>
      </c>
      <c r="K16" s="6"/>
      <c r="M16" s="7">
        <f t="shared" si="7"/>
        <v>4725.5234434833337</v>
      </c>
      <c r="N16">
        <f t="shared" si="2"/>
        <v>0.64894549999999995</v>
      </c>
      <c r="P16" s="3"/>
      <c r="Q16" s="3"/>
      <c r="T16" s="3"/>
      <c r="U16" s="3"/>
      <c r="Y16" s="35">
        <v>122.06078099999331</v>
      </c>
      <c r="Z16" s="23">
        <v>8650.2323481333333</v>
      </c>
      <c r="AA16" s="25">
        <v>124.34453299999677</v>
      </c>
      <c r="AB16" s="26">
        <v>8624.7942698999996</v>
      </c>
      <c r="AC16" s="28">
        <v>124.34453299999677</v>
      </c>
      <c r="AD16" s="27">
        <v>8624.7942698999996</v>
      </c>
      <c r="AE16" s="29">
        <v>124.59408599999733</v>
      </c>
      <c r="AF16" s="30">
        <v>8649.2234401333335</v>
      </c>
      <c r="AG16" s="31">
        <v>130.06276100000741</v>
      </c>
      <c r="AH16" s="14">
        <v>8641.2156197166678</v>
      </c>
      <c r="AI16" s="32">
        <v>141.84318699999994</v>
      </c>
      <c r="AJ16" s="32">
        <v>8637.7859557499996</v>
      </c>
      <c r="AK16" s="20">
        <v>147.71906499999136</v>
      </c>
      <c r="AL16" s="20">
        <v>8653.7546836166657</v>
      </c>
      <c r="AM16" s="33">
        <v>134.62468399999216</v>
      </c>
      <c r="AN16" s="33">
        <v>8655.9562553666674</v>
      </c>
      <c r="AO16" s="34"/>
      <c r="AP16" s="34"/>
    </row>
    <row r="17" spans="1:42" x14ac:dyDescent="0.45">
      <c r="A17" s="11" t="str">
        <f t="shared" si="6"/>
        <v>№7 - IVAN ERR15</v>
      </c>
      <c r="B17" s="11" t="s">
        <v>335</v>
      </c>
      <c r="D17" s="3" t="s">
        <v>331</v>
      </c>
      <c r="E17" s="3" t="s">
        <v>330</v>
      </c>
      <c r="F17" s="1" t="s">
        <v>332</v>
      </c>
      <c r="G17" s="5">
        <f t="shared" si="0"/>
        <v>940.5851879999999</v>
      </c>
      <c r="H17" s="3">
        <f t="shared" si="8"/>
        <v>781.42968613333335</v>
      </c>
      <c r="I17" s="3">
        <f t="shared" si="9"/>
        <v>0.86139427762338949</v>
      </c>
      <c r="J17" s="7">
        <f t="shared" si="10"/>
        <v>0.84460574215680084</v>
      </c>
      <c r="K17" s="6"/>
      <c r="M17" s="7">
        <f t="shared" si="7"/>
        <v>5506.953129616667</v>
      </c>
      <c r="N17">
        <f t="shared" si="2"/>
        <v>0.43012</v>
      </c>
      <c r="P17" s="3"/>
      <c r="Q17" s="3"/>
      <c r="T17" s="3"/>
      <c r="U17" s="3"/>
      <c r="Y17" s="35">
        <v>141.37519899999018</v>
      </c>
      <c r="Z17" s="23">
        <v>10090.343752766667</v>
      </c>
      <c r="AA17" s="25">
        <v>144.06271800000331</v>
      </c>
      <c r="AB17" s="26">
        <v>10063.982300866666</v>
      </c>
      <c r="AC17" s="28">
        <v>144.06271800000331</v>
      </c>
      <c r="AD17" s="27">
        <v>10063.982300866666</v>
      </c>
      <c r="AE17" s="29">
        <v>144.03119199999355</v>
      </c>
      <c r="AF17" s="30">
        <v>10069.666163033333</v>
      </c>
      <c r="AG17" s="31">
        <v>150.62503799999422</v>
      </c>
      <c r="AH17" s="14">
        <v>10075.956245533334</v>
      </c>
      <c r="AI17" s="32">
        <v>164.53079999999727</v>
      </c>
      <c r="AJ17" s="32">
        <v>10081.457828666666</v>
      </c>
      <c r="AK17" s="20">
        <v>171.15659199999504</v>
      </c>
      <c r="AL17" s="20">
        <v>10087.897396833332</v>
      </c>
      <c r="AM17" s="33">
        <v>155.93684599999551</v>
      </c>
      <c r="AN17" s="33">
        <v>10093.851054633335</v>
      </c>
      <c r="AO17" s="34"/>
      <c r="AP17" s="34"/>
    </row>
    <row r="18" spans="1:42" x14ac:dyDescent="0.45">
      <c r="A18" s="11" t="str">
        <f t="shared" si="6"/>
        <v>№8 - AIM TRAINING DEVICE</v>
      </c>
      <c r="B18" s="11" t="s">
        <v>310</v>
      </c>
      <c r="D18" s="3" t="s">
        <v>347</v>
      </c>
      <c r="E18" s="3" t="s">
        <v>348</v>
      </c>
      <c r="F18" s="1" t="s">
        <v>349</v>
      </c>
      <c r="G18" s="5">
        <f t="shared" si="0"/>
        <v>985.83354999999722</v>
      </c>
      <c r="H18" s="3">
        <f t="shared" si="8"/>
        <v>3143.2792185166668</v>
      </c>
      <c r="I18" s="3">
        <f t="shared" si="9"/>
        <v>0.86371637110909216</v>
      </c>
      <c r="J18" s="7">
        <f t="shared" si="10"/>
        <v>0.85897555142242399</v>
      </c>
      <c r="K18" s="6"/>
      <c r="M18" s="7">
        <f>M17 + H18</f>
        <v>8650.2323481333333</v>
      </c>
      <c r="N18">
        <f t="shared" si="2"/>
        <v>0.1664465</v>
      </c>
      <c r="P18" s="3"/>
      <c r="Q18" s="3"/>
      <c r="T18" s="3"/>
      <c r="U18" s="3"/>
      <c r="Y18" s="24"/>
      <c r="Z18" s="23"/>
      <c r="AA18" s="25">
        <v>191.15712900000426</v>
      </c>
      <c r="AB18" s="26">
        <v>13273.6473893</v>
      </c>
      <c r="AC18" s="28">
        <v>191.15712900000426</v>
      </c>
      <c r="AD18" s="27">
        <v>13273.6473893</v>
      </c>
      <c r="AE18" s="29">
        <v>191.09408600000461</v>
      </c>
      <c r="AF18" s="30">
        <v>13278.798443016665</v>
      </c>
      <c r="AG18" s="31">
        <v>199.7813560000086</v>
      </c>
      <c r="AH18" s="14">
        <v>13286.353640700001</v>
      </c>
      <c r="AI18" s="32">
        <v>218.15605299999606</v>
      </c>
      <c r="AJ18" s="32">
        <v>13293.864072549999</v>
      </c>
      <c r="AK18" s="20">
        <v>226.78086899999084</v>
      </c>
      <c r="AL18" s="20">
        <v>13298.736988549997</v>
      </c>
      <c r="AM18" s="33">
        <v>206.81182799999397</v>
      </c>
      <c r="AN18" s="33">
        <v>13305.669799166668</v>
      </c>
      <c r="AO18" s="34"/>
      <c r="AP18" s="34"/>
    </row>
    <row r="19" spans="1:42" x14ac:dyDescent="0.45">
      <c r="D19" s="3" t="s">
        <v>372</v>
      </c>
      <c r="E19" s="3" t="s">
        <v>373</v>
      </c>
      <c r="F19" s="1" t="s">
        <v>374</v>
      </c>
      <c r="G19" s="5">
        <f t="shared" si="0"/>
        <v>1005.1479679999941</v>
      </c>
      <c r="H19" s="3">
        <f>((DATEVALUE(LEFT(D19,10))-DATEVALUE(LEFT(D18,10)))*86400+(TIMEVALUE(MID(D19,12,8))-TIMEVALUE(MID(D18,12,8)))*86400+(VALUE(RIGHT(D19,6))-VALUE(RIGHT(D18,6)))/1000000)/ 60</f>
        <v>1440.1114046333334</v>
      </c>
      <c r="I19" s="3">
        <f>(G19 - G18) / H19 * 60</f>
        <v>0.8047051611919358</v>
      </c>
      <c r="J19" s="7">
        <f>(FLOOR(G19, 1) - FLOOR(G18, 1)) / H19 * 60</f>
        <v>0.83326886804672717</v>
      </c>
      <c r="K19" s="6"/>
      <c r="M19" s="7">
        <f>M18 + H19</f>
        <v>10090.343752766667</v>
      </c>
      <c r="N19">
        <f t="shared" si="2"/>
        <v>0.8520295</v>
      </c>
      <c r="P19" s="3"/>
      <c r="Q19" s="3"/>
      <c r="T19" s="3"/>
      <c r="U19" s="3"/>
      <c r="Y19" s="24"/>
      <c r="Z19" s="23"/>
      <c r="AA19" s="25">
        <v>193.68826600000284</v>
      </c>
      <c r="AB19" s="26">
        <v>13446.755205566667</v>
      </c>
      <c r="AC19" s="28">
        <v>193.68826600000284</v>
      </c>
      <c r="AD19" s="27">
        <v>13446.755205566667</v>
      </c>
      <c r="AE19" s="29">
        <v>193.71882899999946</v>
      </c>
      <c r="AF19" s="30">
        <v>13456.871360949999</v>
      </c>
      <c r="AG19" s="31">
        <v>202.40605700000197</v>
      </c>
      <c r="AH19" s="14">
        <v>13457.77655835</v>
      </c>
      <c r="AI19" s="32">
        <v>220.99914399999898</v>
      </c>
      <c r="AJ19" s="32">
        <v>13464.700021633333</v>
      </c>
      <c r="AK19" s="20">
        <v>229.71840799999541</v>
      </c>
      <c r="AL19" s="20">
        <v>13468.788034333331</v>
      </c>
      <c r="AM19" s="33">
        <v>209.28080799999316</v>
      </c>
      <c r="AN19" s="33">
        <v>13463.561985716668</v>
      </c>
      <c r="AO19" s="34"/>
      <c r="AP19" s="34"/>
    </row>
    <row r="20" spans="1:42" x14ac:dyDescent="0.45">
      <c r="A20" s="17" t="s">
        <v>368</v>
      </c>
      <c r="D20" s="3"/>
      <c r="E20" s="3"/>
      <c r="H20" s="3"/>
      <c r="I20" s="3"/>
      <c r="J20" s="6"/>
      <c r="L20" s="3"/>
      <c r="M20" s="7"/>
      <c r="P20" s="16" t="s">
        <v>342</v>
      </c>
      <c r="Q20" s="3"/>
      <c r="T20" s="3"/>
      <c r="U20" s="3"/>
      <c r="X20" s="3"/>
      <c r="Y20" s="3"/>
      <c r="AB20" s="3"/>
      <c r="AC20" s="3"/>
      <c r="AF20" s="3"/>
      <c r="AG20" s="3"/>
    </row>
    <row r="21" spans="1:42" x14ac:dyDescent="0.45">
      <c r="A21" s="16">
        <f>AVERAGE(K3, K27, K51, K75, K99, K123, K147, K181)</f>
        <v>0.915974712852757</v>
      </c>
      <c r="D21" s="3"/>
      <c r="E21" s="3"/>
      <c r="H21" s="3"/>
      <c r="I21" s="3"/>
      <c r="J21" s="6"/>
      <c r="K21" s="6"/>
      <c r="L21" s="3"/>
      <c r="M21" s="7"/>
      <c r="N21" s="6"/>
      <c r="P21" s="17">
        <f>AVERAGE(N3:N185)</f>
        <v>0.47521438846153857</v>
      </c>
      <c r="Q21" s="3"/>
      <c r="T21" s="3"/>
      <c r="U21" s="3"/>
      <c r="X21" s="3"/>
      <c r="Y21" s="3"/>
      <c r="AB21" s="3"/>
      <c r="AF21" s="3"/>
      <c r="AG21" s="3"/>
    </row>
    <row r="22" spans="1:42" x14ac:dyDescent="0.45">
      <c r="A22" s="17"/>
      <c r="D22" s="3"/>
      <c r="E22" s="3"/>
      <c r="H22" s="3"/>
      <c r="I22" s="3"/>
      <c r="J22" s="6"/>
      <c r="K22" s="6"/>
      <c r="L22" s="3"/>
      <c r="M22" s="7"/>
      <c r="P22" s="3"/>
      <c r="Q22" s="3"/>
      <c r="T22" s="3"/>
      <c r="U22" s="3"/>
      <c r="X22" s="3"/>
      <c r="Y22" s="3"/>
      <c r="AB22" s="3"/>
      <c r="AF22" s="3"/>
    </row>
    <row r="23" spans="1:42" x14ac:dyDescent="0.45">
      <c r="A23" s="17" t="s">
        <v>369</v>
      </c>
      <c r="D23" s="3"/>
      <c r="E23" s="3"/>
      <c r="H23" s="3"/>
      <c r="I23" s="3"/>
      <c r="J23" s="6"/>
      <c r="K23" s="6"/>
      <c r="L23" s="3"/>
      <c r="M23" s="7"/>
      <c r="P23" s="3"/>
      <c r="Q23" s="3"/>
      <c r="T23" s="3"/>
      <c r="U23" s="3"/>
      <c r="X23" s="3"/>
      <c r="Y23" s="3"/>
      <c r="AB23" s="3"/>
      <c r="AF23" s="3"/>
    </row>
    <row r="24" spans="1:42" x14ac:dyDescent="0.45">
      <c r="A24" s="16">
        <f>A21 / 3600 * 1000000</f>
        <v>254.43742023687696</v>
      </c>
      <c r="D24" s="3"/>
      <c r="E24" s="3"/>
      <c r="H24" s="3"/>
      <c r="I24" s="3"/>
      <c r="J24" s="6"/>
      <c r="K24" s="6"/>
      <c r="L24" s="3"/>
      <c r="M24" s="7"/>
      <c r="P24" s="3"/>
      <c r="Q24" s="3"/>
      <c r="T24" s="3"/>
      <c r="U24" s="3"/>
      <c r="X24" s="3"/>
      <c r="Y24" s="3"/>
      <c r="AB24" s="3"/>
      <c r="AF24" s="3"/>
    </row>
    <row r="25" spans="1:42" x14ac:dyDescent="0.45">
      <c r="D25" s="12" t="str">
        <f>("№"&amp;B4&amp;" - "&amp;A4)</f>
        <v>№3 - ACCZERO PBRC</v>
      </c>
      <c r="E25" s="12"/>
      <c r="F25" s="12"/>
      <c r="G25" s="13"/>
      <c r="H25" s="13"/>
      <c r="I25" s="13"/>
      <c r="J25" s="13"/>
      <c r="K25" s="13"/>
      <c r="L25" s="13"/>
      <c r="M25" s="14"/>
      <c r="N25" s="13"/>
      <c r="P25" s="3"/>
      <c r="Q25" s="3"/>
      <c r="T25" s="3"/>
      <c r="U25" s="3"/>
      <c r="X25" s="3"/>
      <c r="Y25" s="3"/>
      <c r="AB25" s="3"/>
      <c r="AF25" s="3"/>
    </row>
    <row r="26" spans="1:42" x14ac:dyDescent="0.45">
      <c r="A26" s="17" t="s">
        <v>370</v>
      </c>
      <c r="B26" s="17" t="s">
        <v>371</v>
      </c>
      <c r="D26" s="12" t="s">
        <v>8</v>
      </c>
      <c r="E26" s="12" t="s">
        <v>9</v>
      </c>
      <c r="F26" s="12" t="s">
        <v>10</v>
      </c>
      <c r="G26" s="12" t="s">
        <v>346</v>
      </c>
      <c r="H26" s="12" t="s">
        <v>222</v>
      </c>
      <c r="I26" s="12" t="s">
        <v>223</v>
      </c>
      <c r="J26" s="12" t="s">
        <v>224</v>
      </c>
      <c r="K26" s="12" t="s">
        <v>225</v>
      </c>
      <c r="L26" s="12" t="s">
        <v>345</v>
      </c>
      <c r="M26" s="12" t="s">
        <v>344</v>
      </c>
      <c r="N26" s="12"/>
      <c r="P26" s="3"/>
      <c r="Q26" s="3"/>
      <c r="T26" s="3"/>
      <c r="U26" s="3"/>
      <c r="X26" s="3"/>
      <c r="Y26" s="3"/>
      <c r="AB26" s="3"/>
      <c r="AF26" s="3"/>
    </row>
    <row r="27" spans="1:42" x14ac:dyDescent="0.45">
      <c r="A27" s="17">
        <f>IF(A24 &gt; 0, ROUND(A24 / 0.9537, 0), IF(A24 + 488.5 &gt; 0, ROUND((A24 + 488.5) / 0.9537, 0), 0))</f>
        <v>267</v>
      </c>
      <c r="B27" s="17">
        <f>IF(A24 &gt; 0, 0, 1)</f>
        <v>0</v>
      </c>
      <c r="D27" s="2" t="s">
        <v>29</v>
      </c>
      <c r="E27" s="2" t="s">
        <v>30</v>
      </c>
      <c r="F27" s="1" t="s">
        <v>31</v>
      </c>
      <c r="G27" s="3">
        <f t="shared" ref="G27:G36" si="11">(DATEVALUE(LEFT(E27, 10))-DATEVALUE(LEFT(D27, 10))) * 86400 + (TIMEVALUE(MID(E27, 12, 8)) - TIMEVALUE(MID(D27, 12, 8))) * 86400 + (VALUE(RIGHT(E27, 6)) - VALUE(RIGHT(D27, 6))) / 1000000</f>
        <v>2048.1470069999973</v>
      </c>
      <c r="H27" s="3"/>
      <c r="I27" s="3"/>
      <c r="J27" s="6"/>
      <c r="K27" s="3">
        <f>((MAX(G27:G49)-MIN(G27:G49))/SUM(H28:H49)) * 60</f>
        <v>0.86424537238464816</v>
      </c>
      <c r="L27" s="3">
        <f>((FLOOR(MAX(G27:G49), 1)-FLOOR(MIN(G27:G49), 1))/SUM(H28:H49)) * 60</f>
        <v>0.86117429989400929</v>
      </c>
      <c r="M27" s="6">
        <v>0</v>
      </c>
      <c r="N27">
        <f>(MID(F27, 2, 7) + MID(F27, 12, 8)) / 2</f>
        <v>0.85299100000000005</v>
      </c>
    </row>
    <row r="28" spans="1:42" x14ac:dyDescent="0.45">
      <c r="D28" s="2" t="s">
        <v>35</v>
      </c>
      <c r="E28" s="2" t="s">
        <v>36</v>
      </c>
      <c r="F28" s="1" t="s">
        <v>37</v>
      </c>
      <c r="G28" s="3">
        <f t="shared" si="11"/>
        <v>2049.3039569999942</v>
      </c>
      <c r="H28" s="3">
        <f t="shared" ref="H28:H36" si="12">((DATEVALUE(LEFT(D28,10))-DATEVALUE(LEFT(D27,10)))*86400+(TIMEVALUE(MID(D28,12,8))-TIMEVALUE(MID(D27,12,8)))*86400+(VALUE(RIGHT(D28,6))-VALUE(RIGHT(D27,6)))/1000000)/ 60</f>
        <v>77.997398266666721</v>
      </c>
      <c r="I28" s="3">
        <f t="shared" ref="I28:I36" si="13">3600 * (G28-G27) / ((DATEVALUE(LEFT(D28, 10))-DATEVALUE(LEFT(D27, 10))) * 86400 + (TIMEVALUE(MID(D28, 12, 8)) - TIMEVALUE(MID(D27, 12, 8))) * 86400 + (VALUE(RIGHT(D28, 6)) - VALUE(RIGHT(D27, 6))) / 1000000)</f>
        <v>0.88999122461086544</v>
      </c>
      <c r="J28" s="7">
        <f>(FLOOR(G28, 1) - FLOOR(G27, 1)) / H28 * 60</f>
        <v>0.76925642820629625</v>
      </c>
      <c r="L28" s="3"/>
      <c r="M28" s="7">
        <f>M27 + H28</f>
        <v>77.997398266666721</v>
      </c>
      <c r="N28">
        <f t="shared" ref="N28:N45" si="14">(MID(F28, 2, 7) + MID(F28, 12, 8)) / 2</f>
        <v>0.69604299999999997</v>
      </c>
    </row>
    <row r="29" spans="1:42" x14ac:dyDescent="0.45">
      <c r="D29" s="2" t="s">
        <v>54</v>
      </c>
      <c r="E29" s="2" t="s">
        <v>55</v>
      </c>
      <c r="F29" s="1" t="s">
        <v>56</v>
      </c>
      <c r="G29" s="3">
        <f t="shared" si="11"/>
        <v>2050.4288650000008</v>
      </c>
      <c r="H29" s="3">
        <f t="shared" si="12"/>
        <v>76.964583466666653</v>
      </c>
      <c r="I29" s="3">
        <f t="shared" si="13"/>
        <v>0.87695504815702374</v>
      </c>
      <c r="J29" s="7">
        <f t="shared" ref="J29:J36" si="15">(FLOOR(G29, 1) - FLOOR(G28, 1)) / H29 * 60</f>
        <v>0.77957935062412165</v>
      </c>
      <c r="K29" t="s">
        <v>340</v>
      </c>
      <c r="L29" t="s">
        <v>341</v>
      </c>
      <c r="M29" s="7">
        <f t="shared" ref="M29:M35" si="16">M28 + H29</f>
        <v>154.96198173333337</v>
      </c>
      <c r="N29">
        <f t="shared" si="14"/>
        <v>0.57113100000000006</v>
      </c>
    </row>
    <row r="30" spans="1:42" x14ac:dyDescent="0.45">
      <c r="D30" s="2" t="s">
        <v>74</v>
      </c>
      <c r="E30" s="2" t="s">
        <v>75</v>
      </c>
      <c r="F30" s="1" t="s">
        <v>76</v>
      </c>
      <c r="G30" s="3">
        <f t="shared" si="11"/>
        <v>2051.3347589999976</v>
      </c>
      <c r="H30" s="3">
        <f t="shared" si="12"/>
        <v>61.301574083333328</v>
      </c>
      <c r="I30" s="3">
        <f t="shared" si="13"/>
        <v>0.88665977689121089</v>
      </c>
      <c r="J30" s="7">
        <f t="shared" si="15"/>
        <v>0.97876768903904543</v>
      </c>
      <c r="K30" s="3">
        <f>(MAX(G27:G49) / (DATEDIF(VALUE(DATE(2000 + MID(B13, 1, 2), MID(B13, 4, 2), MID(B13, 7, 2))), VALUE(DATEVALUE(MID(D27, 1, 10)) + TIMEVALUE(MID(D27, 12, 8)) + MID(D27, 21, 6) / 86400000), "d") * 1440 + (TIMEVALUE(MID(D27, 12, 8)) - TIMEVALUE(RIGHT(B13, 8))) * 1440 + MID(D27, 21, 6) / 86400000 + MAX(M27:M49))) * 60</f>
        <v>0.99683729709455704</v>
      </c>
      <c r="L30" s="3">
        <f>(MIN(G27:G49) / (DATEDIF(VALUE(DATE(2000 + MID(B13, 1, 2), MID(B13, 4, 2), MID(B13, 7, 2))), VALUE(DATEVALUE(MID(D27, 1, 10)) + TIMEVALUE(MID(D27, 12, 8)) + MID(D27, 21, 6) / 86400000), "d") * 1440 + (TIMEVALUE(MID(D27, 12, 8)) - TIMEVALUE(RIGHT(B13, 8))) * 1440 + MID(D27, 21, 6) / 86400000)) * 60</f>
        <v>1.0115128201681065</v>
      </c>
      <c r="M30" s="7">
        <f t="shared" si="16"/>
        <v>216.2635558166667</v>
      </c>
      <c r="N30">
        <f t="shared" si="14"/>
        <v>0.66523899999999991</v>
      </c>
    </row>
    <row r="31" spans="1:42" x14ac:dyDescent="0.45">
      <c r="D31" s="3" t="s">
        <v>97</v>
      </c>
      <c r="E31" s="3" t="s">
        <v>96</v>
      </c>
      <c r="F31" s="1" t="s">
        <v>95</v>
      </c>
      <c r="G31" s="3">
        <f t="shared" si="11"/>
        <v>2055.4599560000001</v>
      </c>
      <c r="H31" s="3">
        <f t="shared" si="12"/>
        <v>282.51457108333329</v>
      </c>
      <c r="I31" s="3">
        <f t="shared" si="13"/>
        <v>0.8761028468409362</v>
      </c>
      <c r="J31" s="7">
        <f t="shared" si="15"/>
        <v>0.84951370500889034</v>
      </c>
      <c r="M31" s="7">
        <f t="shared" si="16"/>
        <v>498.77812689999996</v>
      </c>
      <c r="N31">
        <f t="shared" si="14"/>
        <v>0.54003950000000001</v>
      </c>
    </row>
    <row r="32" spans="1:42" x14ac:dyDescent="0.45">
      <c r="D32" s="2" t="s">
        <v>115</v>
      </c>
      <c r="E32" s="2" t="s">
        <v>116</v>
      </c>
      <c r="F32" s="1" t="s">
        <v>218</v>
      </c>
      <c r="G32" s="3">
        <f t="shared" si="11"/>
        <v>2062.2418290000028</v>
      </c>
      <c r="H32" s="3">
        <f t="shared" si="12"/>
        <v>617.58697301666666</v>
      </c>
      <c r="I32" s="3">
        <f t="shared" si="13"/>
        <v>0.65887461649741885</v>
      </c>
      <c r="J32" s="7">
        <f t="shared" si="15"/>
        <v>0.68006615804809989</v>
      </c>
      <c r="K32" s="8" t="s">
        <v>995</v>
      </c>
      <c r="M32" s="7">
        <f t="shared" si="16"/>
        <v>1116.3650999166666</v>
      </c>
      <c r="N32">
        <f t="shared" si="14"/>
        <v>0.75817099999999993</v>
      </c>
    </row>
    <row r="33" spans="4:14" x14ac:dyDescent="0.45">
      <c r="D33" s="2" t="s">
        <v>146</v>
      </c>
      <c r="E33" s="2" t="s">
        <v>147</v>
      </c>
      <c r="F33" s="1" t="s">
        <v>148</v>
      </c>
      <c r="G33" s="3">
        <f t="shared" si="11"/>
        <v>2063.7725169999994</v>
      </c>
      <c r="H33" s="3">
        <f t="shared" si="12"/>
        <v>104.07448855000008</v>
      </c>
      <c r="I33" s="3">
        <f t="shared" si="13"/>
        <v>0.88245718311337851</v>
      </c>
      <c r="J33" s="7">
        <f t="shared" si="15"/>
        <v>0.57651015955917428</v>
      </c>
      <c r="K33">
        <f>_xlfn.STDEV.P(I28:I48)</f>
        <v>5.213342470127566E-2</v>
      </c>
      <c r="M33" s="7">
        <f t="shared" si="16"/>
        <v>1220.4395884666667</v>
      </c>
      <c r="N33">
        <f t="shared" si="14"/>
        <v>0.22748099999999999</v>
      </c>
    </row>
    <row r="34" spans="4:14" x14ac:dyDescent="0.45">
      <c r="D34" s="3" t="s">
        <v>169</v>
      </c>
      <c r="E34" s="3" t="s">
        <v>170</v>
      </c>
      <c r="F34" s="1" t="s">
        <v>171</v>
      </c>
      <c r="G34" s="3">
        <f t="shared" si="11"/>
        <v>2064.6790190000061</v>
      </c>
      <c r="H34" s="3">
        <f t="shared" si="12"/>
        <v>61.918222099999873</v>
      </c>
      <c r="I34" s="3">
        <f t="shared" si="13"/>
        <v>0.87841863276624177</v>
      </c>
      <c r="J34" s="7">
        <f t="shared" si="15"/>
        <v>0.96902007139510749</v>
      </c>
      <c r="M34" s="7">
        <f t="shared" si="16"/>
        <v>1282.3578105666666</v>
      </c>
      <c r="N34">
        <f t="shared" si="14"/>
        <v>0.3209765</v>
      </c>
    </row>
    <row r="35" spans="4:14" x14ac:dyDescent="0.45">
      <c r="D35" s="3" t="s">
        <v>190</v>
      </c>
      <c r="E35" s="3" t="s">
        <v>191</v>
      </c>
      <c r="F35" s="1" t="s">
        <v>192</v>
      </c>
      <c r="G35" s="3">
        <f t="shared" si="11"/>
        <v>2067.834990999997</v>
      </c>
      <c r="H35" s="3">
        <f t="shared" si="12"/>
        <v>215.39740691666674</v>
      </c>
      <c r="I35" s="3">
        <f t="shared" si="13"/>
        <v>0.87911141879583865</v>
      </c>
      <c r="J35" s="7">
        <f t="shared" si="15"/>
        <v>0.83566465621212727</v>
      </c>
      <c r="M35" s="7">
        <f t="shared" si="16"/>
        <v>1497.7552174833334</v>
      </c>
      <c r="N35">
        <f t="shared" si="14"/>
        <v>0.16500700000000001</v>
      </c>
    </row>
    <row r="36" spans="4:14" x14ac:dyDescent="0.45">
      <c r="D36" s="3" t="s">
        <v>211</v>
      </c>
      <c r="E36" s="3" t="s">
        <v>212</v>
      </c>
      <c r="F36" s="1" t="s">
        <v>213</v>
      </c>
      <c r="G36" s="3">
        <f t="shared" si="11"/>
        <v>2085.4599079999998</v>
      </c>
      <c r="H36" s="3">
        <f t="shared" si="12"/>
        <v>1204.2562474666668</v>
      </c>
      <c r="I36" s="3">
        <f t="shared" si="13"/>
        <v>0.87813123014704597</v>
      </c>
      <c r="J36" s="7">
        <f t="shared" si="15"/>
        <v>0.8968190966598194</v>
      </c>
      <c r="K36" s="6"/>
      <c r="M36" s="7">
        <f t="shared" ref="M36:M41" si="17">M35 + H36</f>
        <v>2702.0114649500001</v>
      </c>
      <c r="N36">
        <f t="shared" si="14"/>
        <v>0.54009050000000003</v>
      </c>
    </row>
    <row r="37" spans="4:14" x14ac:dyDescent="0.45">
      <c r="D37" s="3" t="s">
        <v>241</v>
      </c>
      <c r="E37" s="3" t="s">
        <v>242</v>
      </c>
      <c r="F37" t="s">
        <v>243</v>
      </c>
      <c r="G37" s="3">
        <f t="shared" ref="G37:G45" si="18">(DATEVALUE(LEFT(E37, 10))-DATEVALUE(LEFT(D37, 10))) * 86400 + (TIMEVALUE(MID(E37, 12, 8)) - TIMEVALUE(MID(D37, 12, 8))) * 86400 + (VALUE(RIGHT(E37, 6)) - VALUE(RIGHT(D37, 6))) / 1000000</f>
        <v>2087.3038590000033</v>
      </c>
      <c r="H37" s="3">
        <f t="shared" ref="H37:H42" si="19">((DATEVALUE(LEFT(D37,10))-DATEVALUE(LEFT(D36,10)))*86400+(TIMEVALUE(MID(D37,12,8))-TIMEVALUE(MID(D36,12,8)))*86400+(VALUE(RIGHT(D37,6))-VALUE(RIGHT(D36,6)))/1000000)/ 60</f>
        <v>124.01927041666664</v>
      </c>
      <c r="I37" s="3">
        <f t="shared" ref="I37:I42" si="20">3600 * (G37-G36) / ((DATEVALUE(LEFT(D37, 10))-DATEVALUE(LEFT(D36, 10))) * 86400 + (TIMEVALUE(MID(D37, 12, 8)) - TIMEVALUE(MID(D36, 12, 8))) * 86400 + (VALUE(RIGHT(D37, 6)) - VALUE(RIGHT(D36, 6))) / 1000000)</f>
        <v>0.89209571729056103</v>
      </c>
      <c r="J37" s="7">
        <f t="shared" ref="J37:J42" si="21">(FLOOR(G37, 1) - FLOOR(G36, 1)) / H37 * 60</f>
        <v>0.96759156538203184</v>
      </c>
      <c r="K37" s="6"/>
      <c r="M37" s="7">
        <f t="shared" si="17"/>
        <v>2826.0307353666667</v>
      </c>
      <c r="N37">
        <f t="shared" si="14"/>
        <v>0.71148250000000002</v>
      </c>
    </row>
    <row r="38" spans="4:14" x14ac:dyDescent="0.45">
      <c r="D38" s="3" t="s">
        <v>265</v>
      </c>
      <c r="E38" s="3" t="s">
        <v>266</v>
      </c>
      <c r="F38" s="1" t="s">
        <v>264</v>
      </c>
      <c r="G38" s="3">
        <f t="shared" si="18"/>
        <v>2096.3981010000002</v>
      </c>
      <c r="H38" s="3">
        <f t="shared" si="19"/>
        <v>618.04842330000008</v>
      </c>
      <c r="I38" s="3">
        <f t="shared" si="20"/>
        <v>0.88286693959407803</v>
      </c>
      <c r="J38" s="7">
        <f t="shared" si="21"/>
        <v>0.87371794772443667</v>
      </c>
      <c r="K38" s="6"/>
      <c r="M38" s="7">
        <f t="shared" si="17"/>
        <v>3444.0791586666669</v>
      </c>
      <c r="N38">
        <f t="shared" si="14"/>
        <v>0.617533</v>
      </c>
    </row>
    <row r="39" spans="4:14" x14ac:dyDescent="0.45">
      <c r="D39" s="3" t="s">
        <v>271</v>
      </c>
      <c r="E39" s="3" t="s">
        <v>272</v>
      </c>
      <c r="F39" s="1" t="s">
        <v>273</v>
      </c>
      <c r="G39" s="3">
        <f t="shared" si="18"/>
        <v>2105.8356150000059</v>
      </c>
      <c r="H39" s="3">
        <f t="shared" si="19"/>
        <v>645.72604346666662</v>
      </c>
      <c r="I39" s="3">
        <f t="shared" si="20"/>
        <v>0.87692117381598167</v>
      </c>
      <c r="J39" s="7">
        <f t="shared" si="21"/>
        <v>0.83626795831392786</v>
      </c>
      <c r="K39" s="6"/>
      <c r="M39" s="7">
        <f t="shared" si="17"/>
        <v>4089.8052021333333</v>
      </c>
      <c r="N39">
        <f t="shared" si="14"/>
        <v>0.18068699999999999</v>
      </c>
    </row>
    <row r="40" spans="4:14" x14ac:dyDescent="0.45">
      <c r="D40" s="3" t="s">
        <v>292</v>
      </c>
      <c r="E40" s="3" t="s">
        <v>293</v>
      </c>
      <c r="F40" s="1" t="s">
        <v>294</v>
      </c>
      <c r="G40" s="3">
        <f t="shared" si="18"/>
        <v>2114.8344529999977</v>
      </c>
      <c r="H40" s="3">
        <f t="shared" si="19"/>
        <v>611.78337170000009</v>
      </c>
      <c r="I40" s="3">
        <f t="shared" si="20"/>
        <v>0.88255141439880924</v>
      </c>
      <c r="J40" s="7">
        <f t="shared" si="21"/>
        <v>0.88266537630708852</v>
      </c>
      <c r="K40" s="6"/>
      <c r="M40" s="7">
        <f t="shared" si="17"/>
        <v>4701.5885738333336</v>
      </c>
      <c r="N40">
        <f t="shared" si="14"/>
        <v>0.165545</v>
      </c>
    </row>
    <row r="41" spans="4:14" x14ac:dyDescent="0.45">
      <c r="D41" s="3" t="s">
        <v>327</v>
      </c>
      <c r="E41" s="3" t="s">
        <v>328</v>
      </c>
      <c r="F41" s="1" t="s">
        <v>329</v>
      </c>
      <c r="G41" s="3">
        <f t="shared" si="18"/>
        <v>2126.1789880000001</v>
      </c>
      <c r="H41" s="3">
        <f t="shared" si="19"/>
        <v>774.86089971666661</v>
      </c>
      <c r="I41" s="3">
        <f t="shared" si="20"/>
        <v>0.87844424754048078</v>
      </c>
      <c r="J41" s="7">
        <f t="shared" si="21"/>
        <v>0.92919903464386078</v>
      </c>
      <c r="K41" s="6"/>
      <c r="M41" s="7">
        <f t="shared" si="17"/>
        <v>5476.4494735500002</v>
      </c>
      <c r="N41">
        <f t="shared" si="14"/>
        <v>0.82100799999999996</v>
      </c>
    </row>
    <row r="42" spans="4:14" x14ac:dyDescent="0.45">
      <c r="D42" s="3" t="s">
        <v>350</v>
      </c>
      <c r="E42" s="3" t="s">
        <v>351</v>
      </c>
      <c r="F42" s="1" t="s">
        <v>352</v>
      </c>
      <c r="G42" s="3">
        <f t="shared" si="18"/>
        <v>2172.4915399999941</v>
      </c>
      <c r="H42" s="3">
        <f t="shared" si="19"/>
        <v>3148.3447963499998</v>
      </c>
      <c r="I42" s="3">
        <f t="shared" si="20"/>
        <v>0.88260762392389658</v>
      </c>
      <c r="J42" s="7">
        <f t="shared" si="21"/>
        <v>0.87665112258345301</v>
      </c>
      <c r="K42" s="6"/>
      <c r="M42" s="7">
        <f>M41 + H42</f>
        <v>8624.7942698999996</v>
      </c>
      <c r="N42">
        <f t="shared" si="14"/>
        <v>0.52392649999999996</v>
      </c>
    </row>
    <row r="43" spans="4:14" x14ac:dyDescent="0.45">
      <c r="D43" s="3" t="s">
        <v>375</v>
      </c>
      <c r="E43" s="3" t="s">
        <v>376</v>
      </c>
      <c r="F43" s="1" t="s">
        <v>377</v>
      </c>
      <c r="G43" s="3">
        <f t="shared" si="18"/>
        <v>2192.2097250000006</v>
      </c>
      <c r="H43" s="3">
        <f>((DATEVALUE(LEFT(D43,10))-DATEVALUE(LEFT(D42,10)))*86400+(TIMEVALUE(MID(D43,12,8))-TIMEVALUE(MID(D42,12,8)))*86400+(VALUE(RIGHT(D43,6))-VALUE(RIGHT(D42,6)))/1000000)/ 60</f>
        <v>1439.1880309666667</v>
      </c>
      <c r="I43" s="3">
        <f>3600 * (G43-G42) / ((DATEVALUE(LEFT(D43, 10))-DATEVALUE(LEFT(D42, 10))) * 86400 + (TIMEVALUE(MID(D43, 12, 8)) - TIMEVALUE(MID(D42, 12, 8))) * 86400 + (VALUE(RIGHT(D43, 6)) - VALUE(RIGHT(D42, 6))) / 1000000)</f>
        <v>0.82205457142784877</v>
      </c>
      <c r="J43" s="7">
        <f>(FLOOR(G43, 1) - FLOOR(G42, 1)) / H43 * 60</f>
        <v>0.83380348792505588</v>
      </c>
      <c r="K43" s="6"/>
      <c r="M43" s="7">
        <f>M42 + H43</f>
        <v>10063.982300866666</v>
      </c>
      <c r="N43">
        <f t="shared" si="14"/>
        <v>0.79027150000000002</v>
      </c>
    </row>
    <row r="44" spans="4:14" x14ac:dyDescent="0.45">
      <c r="D44" s="3" t="s">
        <v>402</v>
      </c>
      <c r="E44" s="3" t="s">
        <v>403</v>
      </c>
      <c r="F44" s="1" t="s">
        <v>404</v>
      </c>
      <c r="G44" s="3">
        <f t="shared" si="18"/>
        <v>2239.3041360000016</v>
      </c>
      <c r="H44" s="3">
        <f>((DATEVALUE(LEFT(D44,10))-DATEVALUE(LEFT(D43,10)))*86400+(TIMEVALUE(MID(D44,12,8))-TIMEVALUE(MID(D43,12,8)))*86400+(VALUE(RIGHT(D44,6))-VALUE(RIGHT(D43,6)))/1000000)/ 60</f>
        <v>3209.6650884333335</v>
      </c>
      <c r="I44" s="3">
        <f>3600 * (G44-G43) / ((DATEVALUE(LEFT(D44, 10))-DATEVALUE(LEFT(D43, 10))) * 86400 + (TIMEVALUE(MID(D44, 12, 8)) - TIMEVALUE(MID(D43, 12, 8))) * 86400 + (VALUE(RIGHT(D44, 6)) - VALUE(RIGHT(D43, 6))) / 1000000)</f>
        <v>0.88036121593586247</v>
      </c>
      <c r="J44" s="7">
        <f>(FLOOR(G44, 1) - FLOOR(G43, 1)) / H44 * 60</f>
        <v>0.87859634021083099</v>
      </c>
      <c r="K44" s="6"/>
      <c r="M44" s="7">
        <f>M43 + H44</f>
        <v>13273.6473893</v>
      </c>
      <c r="N44">
        <f t="shared" si="14"/>
        <v>0.69586250000000005</v>
      </c>
    </row>
    <row r="45" spans="4:14" x14ac:dyDescent="0.45">
      <c r="D45" s="3" t="s">
        <v>426</v>
      </c>
      <c r="E45" s="3" t="s">
        <v>427</v>
      </c>
      <c r="F45" s="1" t="s">
        <v>428</v>
      </c>
      <c r="G45" s="3">
        <f t="shared" si="18"/>
        <v>2241.8352730000001</v>
      </c>
      <c r="H45" s="3">
        <f>((DATEVALUE(LEFT(D45,10))-DATEVALUE(LEFT(D44,10)))*86400+(TIMEVALUE(MID(D45,12,8))-TIMEVALUE(MID(D44,12,8)))*86400+(VALUE(RIGHT(D45,6))-VALUE(RIGHT(D44,6)))/1000000)/ 60</f>
        <v>173.10781626666667</v>
      </c>
      <c r="I45" s="3">
        <f>3600 * (G45-G44) / ((DATEVALUE(LEFT(D45, 10))-DATEVALUE(LEFT(D44, 10))) * 86400 + (TIMEVALUE(MID(D45, 12, 8)) - TIMEVALUE(MID(D44, 12, 8))) * 86400 + (VALUE(RIGHT(D45, 6)) - VALUE(RIGHT(D44, 6))) / 1000000)</f>
        <v>0.87730423313738182</v>
      </c>
      <c r="J45" s="7">
        <f>(FLOOR(G45, 1) - FLOOR(G44, 1)) / H45 * 60</f>
        <v>0.69320959958933404</v>
      </c>
      <c r="K45" s="6"/>
      <c r="M45" s="7">
        <f>M44 + H45</f>
        <v>13446.755205566667</v>
      </c>
      <c r="N45">
        <f t="shared" si="14"/>
        <v>0.16472249999999999</v>
      </c>
    </row>
    <row r="46" spans="4:14" x14ac:dyDescent="0.45">
      <c r="D46" s="3"/>
      <c r="E46" s="3"/>
      <c r="H46" s="3"/>
      <c r="I46" s="3"/>
      <c r="J46" s="6"/>
      <c r="M46" s="6"/>
    </row>
    <row r="47" spans="4:14" x14ac:dyDescent="0.45">
      <c r="D47" s="3"/>
      <c r="E47" s="3"/>
      <c r="H47" s="3"/>
      <c r="I47" s="3"/>
      <c r="J47" s="6"/>
      <c r="M47" s="6"/>
    </row>
    <row r="48" spans="4:14" x14ac:dyDescent="0.45">
      <c r="D48" s="3"/>
      <c r="E48" s="3"/>
      <c r="H48" s="3"/>
      <c r="I48" s="3"/>
      <c r="J48" s="6"/>
      <c r="M48" s="6"/>
    </row>
    <row r="49" spans="4:14" x14ac:dyDescent="0.45">
      <c r="D49" s="12" t="str">
        <f>("№"&amp;B5&amp;" - "&amp;A5)</f>
        <v>№4 - IMGCOF</v>
      </c>
      <c r="E49" s="12"/>
      <c r="F49" s="12"/>
      <c r="G49" s="13"/>
      <c r="H49" s="15"/>
      <c r="I49" s="15"/>
      <c r="J49" s="14"/>
      <c r="K49" s="13"/>
      <c r="L49" s="13"/>
      <c r="M49" s="14"/>
      <c r="N49" s="13"/>
    </row>
    <row r="50" spans="4:14" x14ac:dyDescent="0.45">
      <c r="D50" s="12" t="s">
        <v>8</v>
      </c>
      <c r="E50" s="12" t="s">
        <v>9</v>
      </c>
      <c r="F50" s="12" t="s">
        <v>10</v>
      </c>
      <c r="G50" s="12" t="s">
        <v>346</v>
      </c>
      <c r="H50" s="12" t="s">
        <v>222</v>
      </c>
      <c r="I50" s="12" t="s">
        <v>223</v>
      </c>
      <c r="J50" s="12" t="s">
        <v>224</v>
      </c>
      <c r="K50" s="12" t="s">
        <v>225</v>
      </c>
      <c r="L50" s="12" t="s">
        <v>345</v>
      </c>
      <c r="M50" s="12" t="s">
        <v>344</v>
      </c>
      <c r="N50" s="12"/>
    </row>
    <row r="51" spans="4:14" x14ac:dyDescent="0.45">
      <c r="D51" s="2" t="s">
        <v>26</v>
      </c>
      <c r="E51" s="2" t="s">
        <v>27</v>
      </c>
      <c r="F51" s="1" t="s">
        <v>28</v>
      </c>
      <c r="G51" s="3">
        <f t="shared" ref="G51:G60" si="22">(DATEVALUE(LEFT(E51, 10))-DATEVALUE(LEFT(D51, 10))) * 86400 + (TIMEVALUE(MID(E51, 12, 8)) - TIMEVALUE(MID(D51, 12, 8))) * 86400 + (VALUE(RIGHT(E51, 6)) - VALUE(RIGHT(D51, 6))) / 1000000</f>
        <v>2990.1475080000005</v>
      </c>
      <c r="H51" s="3"/>
      <c r="I51" s="3"/>
      <c r="J51" s="6"/>
      <c r="K51" s="3">
        <f>((MAX(G51:G73)-MIN(G51:G73))/SUM(H52:H73)) * 60</f>
        <v>0.86373194988908797</v>
      </c>
      <c r="L51" s="3">
        <f>((FLOOR(MAX(G51:G73), 1)-FLOOR(MIN(G51:G73), 1))/SUM(H52:H73)) * 60</f>
        <v>0.86052691516421687</v>
      </c>
      <c r="M51" s="6">
        <v>0</v>
      </c>
      <c r="N51">
        <f>(MID(F51, 2, 7) + MID(F51, 12, 8)) / 2</f>
        <v>0.85248849999999998</v>
      </c>
    </row>
    <row r="52" spans="4:14" x14ac:dyDescent="0.45">
      <c r="D52" s="2" t="s">
        <v>38</v>
      </c>
      <c r="E52" s="2" t="s">
        <v>39</v>
      </c>
      <c r="F52" s="1" t="s">
        <v>40</v>
      </c>
      <c r="G52" s="3">
        <f t="shared" si="22"/>
        <v>2992.3355460000039</v>
      </c>
      <c r="H52" s="3">
        <f t="shared" ref="H52:H60" si="23">((DATEVALUE(LEFT(D52,10))-DATEVALUE(LEFT(D51,10)))*86400+(TIMEVALUE(MID(D52,12,8))-TIMEVALUE(MID(D51,12,8)))*86400+(VALUE(RIGHT(D52,6))-VALUE(RIGHT(D51,6)))/1000000)/ 60</f>
        <v>83.313542933333352</v>
      </c>
      <c r="I52" s="3">
        <f t="shared" ref="I52:I60" si="24">3600 * (G52-G51) / ((DATEVALUE(LEFT(D52, 10))-DATEVALUE(LEFT(D51, 10))) * 86400 + (TIMEVALUE(MID(D52, 12, 8)) - TIMEVALUE(MID(D51, 12, 8))) * 86400 + (VALUE(RIGHT(D52, 6)) - VALUE(RIGHT(D51, 6))) / 1000000)</f>
        <v>1.5757615794259971</v>
      </c>
      <c r="J52" s="7">
        <f>(FLOOR(G52, 1) - FLOOR(G51, 1)) / H52 * 60</f>
        <v>1.4403420593458949</v>
      </c>
      <c r="L52" s="3"/>
      <c r="M52" s="7">
        <f>M51 + H52</f>
        <v>83.313542933333352</v>
      </c>
      <c r="N52">
        <f t="shared" ref="N52:N69" si="25">(MID(F52, 2, 7) + MID(F52, 12, 8)) / 2</f>
        <v>0.66445149999999997</v>
      </c>
    </row>
    <row r="53" spans="4:14" x14ac:dyDescent="0.45">
      <c r="D53" s="2" t="s">
        <v>57</v>
      </c>
      <c r="E53" s="2" t="s">
        <v>58</v>
      </c>
      <c r="F53" s="1" t="s">
        <v>59</v>
      </c>
      <c r="G53" s="3">
        <f t="shared" si="22"/>
        <v>2992.5224759999946</v>
      </c>
      <c r="H53" s="3">
        <f t="shared" si="23"/>
        <v>76.263554633333371</v>
      </c>
      <c r="I53" s="3">
        <f t="shared" si="24"/>
        <v>0.14706631566505735</v>
      </c>
      <c r="J53" s="7">
        <f t="shared" ref="J53:J60" si="26">(FLOOR(G53, 1) - FLOOR(G52, 1)) / H53 * 60</f>
        <v>0</v>
      </c>
      <c r="K53" t="s">
        <v>340</v>
      </c>
      <c r="L53" t="s">
        <v>341</v>
      </c>
      <c r="M53" s="7">
        <f t="shared" ref="M53:M59" si="27">M52 + H53</f>
        <v>159.57709756666674</v>
      </c>
      <c r="N53">
        <f t="shared" si="25"/>
        <v>0.47752249999999996</v>
      </c>
    </row>
    <row r="54" spans="4:14" x14ac:dyDescent="0.45">
      <c r="D54" s="2" t="s">
        <v>77</v>
      </c>
      <c r="E54" s="2" t="s">
        <v>78</v>
      </c>
      <c r="F54" s="1" t="s">
        <v>79</v>
      </c>
      <c r="G54" s="3">
        <f t="shared" si="22"/>
        <v>2993.4288620000011</v>
      </c>
      <c r="H54" s="3">
        <f t="shared" si="23"/>
        <v>61.384893433333225</v>
      </c>
      <c r="I54" s="3">
        <f t="shared" si="24"/>
        <v>0.88593719005884153</v>
      </c>
      <c r="J54" s="7">
        <f t="shared" si="26"/>
        <v>0.97743918159868959</v>
      </c>
      <c r="K54" s="3">
        <f>(MAX(G51:G72)/(DATEDIF(VALUE(DATE(2000+MID(B14,1,2),MID(B14,4,2),MID(B14,7,2))),VALUE(DATEVALUE(MID(D51,1,10))+TIMEVALUE(MID(D51,12,8))+MID(D51,21,6)/86400000),"d")*1440+(TIMEVALUE(MID(D51,12,8))-TIMEVALUE(RIGHT(B14,8)))*1440+MID(D51,21,6)/86400000+MAX(M51:M72))*60)</f>
        <v>0.86962563482326705</v>
      </c>
      <c r="L54" s="3">
        <f>(MIN(G51:G72)/(DATEDIF(VALUE(DATE(2000+MID(B14,1,2),MID(B14,4,2),MID(B14,7,2))),VALUE(DATEVALUE(MID(D51,1,10))+TIMEVALUE(MID(D51,12,8))+MID(D51,21,6)/86400000),"d")*1440+(TIMEVALUE(MID(D51,12,8))-TIMEVALUE(RIGHT(B14,8)))*1440+MID(D51,21,6)/86400000)*60)</f>
        <v>0.87001023680306366</v>
      </c>
      <c r="M54" s="7">
        <f t="shared" si="27"/>
        <v>220.96199099999995</v>
      </c>
      <c r="N54">
        <f t="shared" si="25"/>
        <v>0.57113400000000003</v>
      </c>
    </row>
    <row r="55" spans="4:14" x14ac:dyDescent="0.45">
      <c r="D55" s="2" t="s">
        <v>98</v>
      </c>
      <c r="E55" s="2" t="s">
        <v>99</v>
      </c>
      <c r="F55" s="1" t="s">
        <v>100</v>
      </c>
      <c r="G55" s="3">
        <f t="shared" si="22"/>
        <v>2997.5460029999995</v>
      </c>
      <c r="H55" s="3">
        <f t="shared" si="23"/>
        <v>282.99790674999997</v>
      </c>
      <c r="I55" s="3">
        <f t="shared" si="24"/>
        <v>0.87289854132428613</v>
      </c>
      <c r="J55" s="7">
        <f t="shared" si="26"/>
        <v>0.84806280992041305</v>
      </c>
      <c r="M55" s="7">
        <f t="shared" si="27"/>
        <v>503.95989774999993</v>
      </c>
      <c r="N55">
        <f t="shared" si="25"/>
        <v>0.45399600000000001</v>
      </c>
    </row>
    <row r="56" spans="4:14" x14ac:dyDescent="0.45">
      <c r="D56" s="2" t="s">
        <v>117</v>
      </c>
      <c r="E56" s="2" t="s">
        <v>118</v>
      </c>
      <c r="F56" s="1" t="s">
        <v>119</v>
      </c>
      <c r="G56" s="3">
        <f t="shared" si="22"/>
        <v>3004.3344400000015</v>
      </c>
      <c r="H56" s="3">
        <f t="shared" si="23"/>
        <v>618.37034155000003</v>
      </c>
      <c r="I56" s="3">
        <f t="shared" si="24"/>
        <v>0.65867683592193238</v>
      </c>
      <c r="J56" s="7">
        <f t="shared" si="26"/>
        <v>0.67920463155983968</v>
      </c>
      <c r="K56" s="8" t="s">
        <v>995</v>
      </c>
      <c r="M56" s="7">
        <f t="shared" si="27"/>
        <v>1122.3302392999999</v>
      </c>
      <c r="N56">
        <f t="shared" si="25"/>
        <v>0.66555750000000002</v>
      </c>
    </row>
    <row r="57" spans="4:14" x14ac:dyDescent="0.45">
      <c r="D57" s="2" t="s">
        <v>143</v>
      </c>
      <c r="E57" s="2" t="s">
        <v>144</v>
      </c>
      <c r="F57" s="1" t="s">
        <v>145</v>
      </c>
      <c r="G57" s="3">
        <f t="shared" si="22"/>
        <v>3005.7730900000029</v>
      </c>
      <c r="H57" s="3">
        <f t="shared" si="23"/>
        <v>97.926007433333282</v>
      </c>
      <c r="I57" s="3">
        <f t="shared" si="24"/>
        <v>0.88147165663677063</v>
      </c>
      <c r="J57" s="7">
        <f t="shared" si="26"/>
        <v>0.61270750817495756</v>
      </c>
      <c r="K57">
        <f>_xlfn.STDEV.P(I52:I72)</f>
        <v>0.24377553856305004</v>
      </c>
      <c r="M57" s="7">
        <f t="shared" si="27"/>
        <v>1220.2562467333332</v>
      </c>
      <c r="N57">
        <f t="shared" si="25"/>
        <v>0.22690850000000001</v>
      </c>
    </row>
    <row r="58" spans="4:14" x14ac:dyDescent="0.45">
      <c r="D58" s="3" t="s">
        <v>166</v>
      </c>
      <c r="E58" s="3" t="s">
        <v>167</v>
      </c>
      <c r="F58" s="1" t="s">
        <v>168</v>
      </c>
      <c r="G58" s="3">
        <f t="shared" si="22"/>
        <v>3006.7099309999999</v>
      </c>
      <c r="H58" s="3">
        <f t="shared" si="23"/>
        <v>63.167729950000066</v>
      </c>
      <c r="I58" s="3">
        <f t="shared" si="24"/>
        <v>0.88986037719438582</v>
      </c>
      <c r="J58" s="7">
        <f t="shared" si="26"/>
        <v>0.94985208503602292</v>
      </c>
      <c r="M58" s="7">
        <f t="shared" si="27"/>
        <v>1283.4239766833332</v>
      </c>
      <c r="N58">
        <f t="shared" si="25"/>
        <v>0.2900645</v>
      </c>
    </row>
    <row r="59" spans="4:14" x14ac:dyDescent="0.45">
      <c r="D59" s="3" t="s">
        <v>187</v>
      </c>
      <c r="E59" s="3" t="s">
        <v>188</v>
      </c>
      <c r="F59" s="1" t="s">
        <v>189</v>
      </c>
      <c r="G59" s="3">
        <f t="shared" si="22"/>
        <v>3009.8665140000003</v>
      </c>
      <c r="H59" s="3">
        <f t="shared" si="23"/>
        <v>215.49738064999994</v>
      </c>
      <c r="I59" s="3">
        <f t="shared" si="24"/>
        <v>0.87887369873711096</v>
      </c>
      <c r="J59" s="7">
        <f t="shared" si="26"/>
        <v>0.83527697393383626</v>
      </c>
      <c r="M59" s="7">
        <f t="shared" si="27"/>
        <v>1498.9213573333332</v>
      </c>
      <c r="N59">
        <f t="shared" si="25"/>
        <v>0.1334825</v>
      </c>
    </row>
    <row r="60" spans="4:14" x14ac:dyDescent="0.45">
      <c r="D60" s="3" t="s">
        <v>208</v>
      </c>
      <c r="E60" s="3" t="s">
        <v>209</v>
      </c>
      <c r="F60" s="1" t="s">
        <v>210</v>
      </c>
      <c r="G60" s="3">
        <f t="shared" si="22"/>
        <v>3027.460432000003</v>
      </c>
      <c r="H60" s="3">
        <f t="shared" si="23"/>
        <v>1203.6901030666668</v>
      </c>
      <c r="I60" s="3">
        <f t="shared" si="24"/>
        <v>0.87699905258895261</v>
      </c>
      <c r="J60" s="7">
        <f t="shared" si="26"/>
        <v>0.89724090714749682</v>
      </c>
      <c r="K60" s="6"/>
      <c r="M60" s="7">
        <f t="shared" ref="M60:M65" si="28">M59 + H60</f>
        <v>2702.6114603999999</v>
      </c>
      <c r="N60">
        <f t="shared" si="25"/>
        <v>0.53956699999999991</v>
      </c>
    </row>
    <row r="61" spans="4:14" x14ac:dyDescent="0.45">
      <c r="D61" s="3" t="s">
        <v>238</v>
      </c>
      <c r="E61" s="3" t="s">
        <v>239</v>
      </c>
      <c r="F61" s="1" t="s">
        <v>240</v>
      </c>
      <c r="G61" s="3">
        <f t="shared" ref="G61:G69" si="29">(DATEVALUE(LEFT(E61, 10))-DATEVALUE(LEFT(D61, 10))) * 86400 + (TIMEVALUE(MID(E61, 12, 8)) - TIMEVALUE(MID(D61, 12, 8))) * 86400 + (VALUE(RIGHT(E61, 6)) - VALUE(RIGHT(D61, 6))) / 1000000</f>
        <v>3029.3043530000068</v>
      </c>
      <c r="H61" s="3">
        <f t="shared" ref="H61:H66" si="30">((DATEVALUE(LEFT(D61,10))-DATEVALUE(LEFT(D60,10)))*86400+(TIMEVALUE(MID(D61,12,8))-TIMEVALUE(MID(D60,12,8)))*86400+(VALUE(RIGHT(D61,6))-VALUE(RIGHT(D60,6)))/1000000)/ 60</f>
        <v>123.18593366666664</v>
      </c>
      <c r="I61" s="3">
        <f t="shared" ref="I61:I66" si="31">3600 * (G61-G60) / ((DATEVALUE(LEFT(D61, 10))-DATEVALUE(LEFT(D60, 10))) * 86400 + (TIMEVALUE(MID(D61, 12, 8)) - TIMEVALUE(MID(D60, 12, 8))) * 86400 + (VALUE(RIGHT(D61, 6)) - VALUE(RIGHT(D60, 6))) / 1000000)</f>
        <v>0.89811601622956816</v>
      </c>
      <c r="J61" s="7">
        <f t="shared" ref="J61:J66" si="32">(FLOOR(G61, 1) - FLOOR(G60, 1)) / H61 * 60</f>
        <v>0.97413719592946735</v>
      </c>
      <c r="K61" s="6"/>
      <c r="M61" s="7">
        <f t="shared" si="28"/>
        <v>2825.7973940666666</v>
      </c>
      <c r="N61">
        <f t="shared" si="25"/>
        <v>0.71119449999999995</v>
      </c>
    </row>
    <row r="62" spans="4:14" x14ac:dyDescent="0.45">
      <c r="D62" s="3" t="s">
        <v>258</v>
      </c>
      <c r="E62" s="3" t="s">
        <v>259</v>
      </c>
      <c r="F62" s="1" t="s">
        <v>260</v>
      </c>
      <c r="G62" s="3">
        <f t="shared" si="29"/>
        <v>3038.3665019999994</v>
      </c>
      <c r="H62" s="3">
        <f t="shared" si="30"/>
        <v>617.33229826666673</v>
      </c>
      <c r="I62" s="3">
        <f t="shared" si="31"/>
        <v>0.88077189793280941</v>
      </c>
      <c r="J62" s="7">
        <f t="shared" si="32"/>
        <v>0.8747314882376982</v>
      </c>
      <c r="K62" s="6"/>
      <c r="M62" s="7">
        <f t="shared" si="28"/>
        <v>3443.1296923333334</v>
      </c>
      <c r="N62">
        <f t="shared" si="25"/>
        <v>0.63349450000000007</v>
      </c>
    </row>
    <row r="63" spans="4:14" x14ac:dyDescent="0.45">
      <c r="D63" s="3" t="s">
        <v>274</v>
      </c>
      <c r="E63" s="3" t="s">
        <v>275</v>
      </c>
      <c r="F63" s="1" t="s">
        <v>276</v>
      </c>
      <c r="G63" s="3">
        <f t="shared" si="29"/>
        <v>3047.89761</v>
      </c>
      <c r="H63" s="3">
        <f t="shared" si="30"/>
        <v>652.80782150000005</v>
      </c>
      <c r="I63" s="3">
        <f t="shared" si="31"/>
        <v>0.87601045999421312</v>
      </c>
      <c r="J63" s="7">
        <f t="shared" si="32"/>
        <v>0.82719597133380851</v>
      </c>
      <c r="K63" s="6"/>
      <c r="M63" s="7">
        <f t="shared" si="28"/>
        <v>4095.9375138333335</v>
      </c>
      <c r="N63">
        <f t="shared" si="25"/>
        <v>0.10238549999999999</v>
      </c>
    </row>
    <row r="64" spans="4:14" x14ac:dyDescent="0.45">
      <c r="D64" s="3" t="s">
        <v>295</v>
      </c>
      <c r="E64" s="3" t="s">
        <v>296</v>
      </c>
      <c r="F64" s="1" t="s">
        <v>297</v>
      </c>
      <c r="G64" s="3">
        <f t="shared" si="29"/>
        <v>3056.9288190000016</v>
      </c>
      <c r="H64" s="3">
        <f t="shared" si="30"/>
        <v>612.69946976666665</v>
      </c>
      <c r="I64" s="3">
        <f t="shared" si="31"/>
        <v>0.88440184256476562</v>
      </c>
      <c r="J64" s="7">
        <f t="shared" si="32"/>
        <v>0.88134562970267849</v>
      </c>
      <c r="K64" s="6"/>
      <c r="M64" s="7">
        <f t="shared" si="28"/>
        <v>4708.6369836000003</v>
      </c>
      <c r="N64">
        <f t="shared" si="25"/>
        <v>7.1178999999999992E-2</v>
      </c>
    </row>
    <row r="65" spans="4:14" x14ac:dyDescent="0.45">
      <c r="D65" s="3" t="s">
        <v>324</v>
      </c>
      <c r="E65" s="3" t="s">
        <v>325</v>
      </c>
      <c r="F65" s="1" t="s">
        <v>326</v>
      </c>
      <c r="G65" s="3">
        <f t="shared" si="29"/>
        <v>3068.1790430000033</v>
      </c>
      <c r="H65" s="3">
        <f t="shared" si="30"/>
        <v>768.94583378333334</v>
      </c>
      <c r="I65" s="3">
        <f t="shared" si="31"/>
        <v>0.87784263903080295</v>
      </c>
      <c r="J65" s="7">
        <f t="shared" si="32"/>
        <v>0.93634683792678575</v>
      </c>
      <c r="K65" s="6"/>
      <c r="M65" s="7">
        <f t="shared" si="28"/>
        <v>5477.5828173833333</v>
      </c>
      <c r="N65">
        <f t="shared" si="25"/>
        <v>0.82095649999999998</v>
      </c>
    </row>
    <row r="66" spans="4:14" x14ac:dyDescent="0.45">
      <c r="D66" s="3" t="s">
        <v>365</v>
      </c>
      <c r="E66" s="3" t="s">
        <v>366</v>
      </c>
      <c r="F66" s="1" t="s">
        <v>367</v>
      </c>
      <c r="G66" s="3">
        <f t="shared" si="29"/>
        <v>3114.7415939999978</v>
      </c>
      <c r="H66" s="3">
        <f t="shared" si="30"/>
        <v>3171.6406227499997</v>
      </c>
      <c r="I66" s="3">
        <f t="shared" si="31"/>
        <v>0.88085423044472266</v>
      </c>
      <c r="J66" s="7">
        <f t="shared" si="32"/>
        <v>0.87021208525413485</v>
      </c>
      <c r="K66" s="6"/>
      <c r="M66" s="7">
        <f>M65 + H66</f>
        <v>8649.2234401333335</v>
      </c>
      <c r="N66">
        <f t="shared" si="25"/>
        <v>0.25840249999999998</v>
      </c>
    </row>
    <row r="67" spans="4:14" x14ac:dyDescent="0.45">
      <c r="D67" s="3" t="s">
        <v>378</v>
      </c>
      <c r="E67" s="3" t="s">
        <v>379</v>
      </c>
      <c r="F67" s="1" t="s">
        <v>380</v>
      </c>
      <c r="G67" s="3">
        <f t="shared" si="29"/>
        <v>3134.178699999994</v>
      </c>
      <c r="H67" s="3">
        <f>((DATEVALUE(LEFT(D67,10))-DATEVALUE(LEFT(D66,10)))*86400+(TIMEVALUE(MID(D67,12,8))-TIMEVALUE(MID(D66,12,8)))*86400+(VALUE(RIGHT(D67,6))-VALUE(RIGHT(D66,6)))/1000000)/ 60</f>
        <v>1420.4427229</v>
      </c>
      <c r="I67" s="3">
        <f>3600 * (G67-G66) / ((DATEVALUE(LEFT(D67, 10))-DATEVALUE(LEFT(D66, 10))) * 86400 + (TIMEVALUE(MID(D67, 12, 8)) - TIMEVALUE(MID(D66, 12, 8))) * 86400 + (VALUE(RIGHT(D67, 6)) - VALUE(RIGHT(D66, 6))) / 1000000)</f>
        <v>0.82103019093848817</v>
      </c>
      <c r="J67" s="7">
        <f>(FLOOR(G67, 1) - FLOOR(G66, 1)) / H67 * 60</f>
        <v>0.84480703139515512</v>
      </c>
      <c r="K67" s="6"/>
      <c r="M67" s="7">
        <f>M66 + H67</f>
        <v>10069.666163033333</v>
      </c>
      <c r="N67">
        <f t="shared" si="25"/>
        <v>0.82130049999999999</v>
      </c>
    </row>
    <row r="68" spans="4:14" x14ac:dyDescent="0.45">
      <c r="D68" s="3" t="s">
        <v>405</v>
      </c>
      <c r="E68" s="3" t="s">
        <v>406</v>
      </c>
      <c r="F68" s="1" t="s">
        <v>407</v>
      </c>
      <c r="G68" s="3">
        <f t="shared" si="29"/>
        <v>3181.2415940000051</v>
      </c>
      <c r="H68" s="3">
        <f>((DATEVALUE(LEFT(D68,10))-DATEVALUE(LEFT(D67,10)))*86400+(TIMEVALUE(MID(D68,12,8))-TIMEVALUE(MID(D67,12,8)))*86400+(VALUE(RIGHT(D68,6))-VALUE(RIGHT(D67,6)))/1000000)/ 60</f>
        <v>3209.1322799833333</v>
      </c>
      <c r="I68" s="3">
        <f>3600 * (G68-G67) / ((DATEVALUE(LEFT(D68, 10))-DATEVALUE(LEFT(D67, 10))) * 86400 + (TIMEVALUE(MID(D68, 12, 8)) - TIMEVALUE(MID(D67, 12, 8))) * 86400 + (VALUE(RIGHT(D68, 6)) - VALUE(RIGHT(D67, 6))) / 1000000)</f>
        <v>0.87991811917934681</v>
      </c>
      <c r="J68" s="7">
        <f>(FLOOR(G68, 1) - FLOOR(G67, 1)) / H68 * 60</f>
        <v>0.87874221252563822</v>
      </c>
      <c r="K68" s="6"/>
      <c r="M68" s="7">
        <f>M67 + H68</f>
        <v>13278.798443016665</v>
      </c>
      <c r="N68">
        <f t="shared" si="25"/>
        <v>0.75840099999999999</v>
      </c>
    </row>
    <row r="69" spans="4:14" x14ac:dyDescent="0.45">
      <c r="D69" s="3" t="s">
        <v>435</v>
      </c>
      <c r="E69" s="3" t="s">
        <v>436</v>
      </c>
      <c r="F69" s="1" t="s">
        <v>437</v>
      </c>
      <c r="G69" s="3">
        <f t="shared" si="29"/>
        <v>3183.8663369999999</v>
      </c>
      <c r="H69" s="3">
        <f>((DATEVALUE(LEFT(D69,10))-DATEVALUE(LEFT(D68,10)))*86400+(TIMEVALUE(MID(D69,12,8))-TIMEVALUE(MID(D68,12,8)))*86400+(VALUE(RIGHT(D69,6))-VALUE(RIGHT(D68,6)))/1000000)/ 60</f>
        <v>178.07291793333334</v>
      </c>
      <c r="I69" s="3">
        <f>3600 * (G69-G68) / ((DATEVALUE(LEFT(D69, 10))-DATEVALUE(LEFT(D68, 10))) * 86400 + (TIMEVALUE(MID(D69, 12, 8)) - TIMEVALUE(MID(D68, 12, 8))) * 86400 + (VALUE(RIGHT(D69, 6)) - VALUE(RIGHT(D68, 6))) / 1000000)</f>
        <v>0.88438254299089925</v>
      </c>
      <c r="J69" s="7">
        <f>(FLOOR(G69, 1) - FLOOR(G68, 1)) / H69 * 60</f>
        <v>0.67388124703457375</v>
      </c>
      <c r="K69" s="6"/>
      <c r="M69" s="7">
        <f>M68 + H69</f>
        <v>13456.871360949999</v>
      </c>
      <c r="N69">
        <f t="shared" si="25"/>
        <v>0.149279</v>
      </c>
    </row>
    <row r="70" spans="4:14" x14ac:dyDescent="0.45">
      <c r="D70" s="3"/>
      <c r="E70" s="3"/>
      <c r="J70" s="6"/>
      <c r="M70" s="6"/>
    </row>
    <row r="71" spans="4:14" x14ac:dyDescent="0.45">
      <c r="D71" s="3"/>
      <c r="E71" s="3"/>
      <c r="J71" s="6"/>
      <c r="M71" s="6"/>
    </row>
    <row r="72" spans="4:14" x14ac:dyDescent="0.45">
      <c r="D72" s="3"/>
      <c r="E72" s="3"/>
      <c r="J72" s="6"/>
      <c r="M72" s="6"/>
    </row>
    <row r="73" spans="4:14" x14ac:dyDescent="0.45">
      <c r="D73" s="12" t="str">
        <f>("№"&amp;B6&amp;" - "&amp;A6)</f>
        <v>№5 - ERR15</v>
      </c>
      <c r="E73" s="12"/>
      <c r="F73" s="12"/>
      <c r="G73" s="13"/>
      <c r="H73" s="13"/>
      <c r="I73" s="13"/>
      <c r="J73" s="14"/>
      <c r="K73" s="13"/>
      <c r="L73" s="13"/>
      <c r="M73" s="14"/>
      <c r="N73" s="13"/>
    </row>
    <row r="74" spans="4:14" x14ac:dyDescent="0.45">
      <c r="D74" s="12" t="s">
        <v>8</v>
      </c>
      <c r="E74" s="12" t="s">
        <v>9</v>
      </c>
      <c r="F74" s="12" t="s">
        <v>10</v>
      </c>
      <c r="G74" s="12" t="s">
        <v>346</v>
      </c>
      <c r="H74" s="12" t="s">
        <v>222</v>
      </c>
      <c r="I74" s="12" t="s">
        <v>223</v>
      </c>
      <c r="J74" s="12" t="s">
        <v>224</v>
      </c>
      <c r="K74" s="12" t="s">
        <v>225</v>
      </c>
      <c r="L74" s="12" t="s">
        <v>345</v>
      </c>
      <c r="M74" s="12" t="s">
        <v>344</v>
      </c>
      <c r="N74" s="12"/>
    </row>
    <row r="75" spans="4:14" x14ac:dyDescent="0.45">
      <c r="D75" s="2" t="s">
        <v>23</v>
      </c>
      <c r="E75" s="2" t="s">
        <v>24</v>
      </c>
      <c r="F75" s="1" t="s">
        <v>25</v>
      </c>
      <c r="G75" s="3">
        <f t="shared" ref="G75:G93" si="33">(DATEVALUE(LEFT(E75, 10))-DATEVALUE(LEFT(D75, 10))) * 86400 + (TIMEVALUE(MID(E75, 12, 8)) - TIMEVALUE(MID(D75, 12, 8))) * 86400 + (VALUE(RIGHT(E75, 6)) - VALUE(RIGHT(D75, 6))) / 1000000</f>
        <v>3732.1165269999983</v>
      </c>
      <c r="H75" s="3"/>
      <c r="I75" s="3"/>
      <c r="J75" s="6"/>
      <c r="K75" s="3">
        <f>((MAX(G75:G97)-MIN(G75:G97))/SUM(H76:H97)) * 60</f>
        <v>0.90240489335996865</v>
      </c>
      <c r="L75" s="3">
        <f>((FLOOR(MAX(G75:G97), 1)-FLOOR(MIN(G75:G97), 1))/SUM(H76:H97)) * 60</f>
        <v>0.90059453338746631</v>
      </c>
      <c r="M75" s="6">
        <v>0</v>
      </c>
      <c r="N75">
        <f>(MID(F75, 2, 7) + MID(F75, 12, 8)) / 2</f>
        <v>0.88346950000000002</v>
      </c>
    </row>
    <row r="76" spans="4:14" x14ac:dyDescent="0.45">
      <c r="D76" s="2" t="s">
        <v>41</v>
      </c>
      <c r="E76" s="2" t="s">
        <v>42</v>
      </c>
      <c r="F76" s="1" t="s">
        <v>219</v>
      </c>
      <c r="G76" s="3">
        <f t="shared" si="33"/>
        <v>3733.585482000005</v>
      </c>
      <c r="H76" s="3">
        <f t="shared" ref="H76:H84" si="34">((DATEVALUE(LEFT(D76,10))-DATEVALUE(LEFT(D75,10)))*86400+(TIMEVALUE(MID(D76,12,8))-TIMEVALUE(MID(D75,12,8)))*86400+(VALUE(RIGHT(D76,6))-VALUE(RIGHT(D75,6)))/1000000)/ 60</f>
        <v>96.342179883333358</v>
      </c>
      <c r="I76" s="3">
        <f t="shared" ref="I76:I84" si="35">3600 * (G76-G75) / ((DATEVALUE(LEFT(D76, 10))-DATEVALUE(LEFT(D75, 10))) * 86400 + (TIMEVALUE(MID(D76, 12, 8)) - TIMEVALUE(MID(D75, 12, 8))) * 86400 + (VALUE(RIGHT(D76, 6)) - VALUE(RIGHT(D75, 6))) / 1000000)</f>
        <v>0.91483605734403695</v>
      </c>
      <c r="J76" s="7">
        <f>(FLOOR(G76, 1) - FLOOR(G75, 1)) / H76 * 60</f>
        <v>0.62278017865754831</v>
      </c>
      <c r="L76" s="3"/>
      <c r="M76" s="7">
        <f>M75 + H76</f>
        <v>96.342179883333358</v>
      </c>
      <c r="N76">
        <f t="shared" ref="N76:N93" si="36">(MID(F76, 2, 7) + MID(F76, 12, 8)) / 2</f>
        <v>0.41451749999999998</v>
      </c>
    </row>
    <row r="77" spans="4:14" x14ac:dyDescent="0.45">
      <c r="D77" s="2" t="s">
        <v>60</v>
      </c>
      <c r="E77" s="2" t="s">
        <v>61</v>
      </c>
      <c r="F77" s="1" t="s">
        <v>62</v>
      </c>
      <c r="G77" s="3">
        <f t="shared" si="33"/>
        <v>3734.6468560000017</v>
      </c>
      <c r="H77" s="3">
        <f t="shared" si="34"/>
        <v>68.415643783333266</v>
      </c>
      <c r="I77" s="3">
        <f t="shared" si="35"/>
        <v>0.93081693715372016</v>
      </c>
      <c r="J77" s="7">
        <f t="shared" ref="J77:J84" si="37">(FLOOR(G77, 1) - FLOOR(G76, 1)) / H77 * 60</f>
        <v>0.87699240527524791</v>
      </c>
      <c r="K77" t="s">
        <v>340</v>
      </c>
      <c r="L77" t="s">
        <v>341</v>
      </c>
      <c r="M77" s="7">
        <f t="shared" ref="M77:M83" si="38">M76 + H77</f>
        <v>164.75782366666664</v>
      </c>
      <c r="N77">
        <f t="shared" si="36"/>
        <v>0.35314050000000002</v>
      </c>
    </row>
    <row r="78" spans="4:14" x14ac:dyDescent="0.45">
      <c r="D78" s="2" t="s">
        <v>80</v>
      </c>
      <c r="E78" s="2" t="s">
        <v>81</v>
      </c>
      <c r="F78" s="1" t="s">
        <v>82</v>
      </c>
      <c r="G78" s="3">
        <f t="shared" si="33"/>
        <v>3735.5853919999986</v>
      </c>
      <c r="H78" s="3">
        <f t="shared" si="34"/>
        <v>61.001025283333441</v>
      </c>
      <c r="I78" s="3">
        <f t="shared" si="35"/>
        <v>0.923134647954864</v>
      </c>
      <c r="J78" s="7">
        <f t="shared" si="37"/>
        <v>0.98359002527115003</v>
      </c>
      <c r="K78" s="3">
        <f>(MAX(G75:G96) / (DATEDIF(VALUE(DATE(2000 + MID(B15, 1, 2), MID(B15, 4, 2), MID(B15, 7, 2))), VALUE(DATEVALUE(MID(D75, 1, 10)) + TIMEVALUE(MID(D75, 12, 8)) + MID(D75, 21, 6) / 86400000), "d") * 1440 + (TIMEVALUE(MID(D75, 12, 8)) - TIMEVALUE(RIGHT(B15, 8))) * 1440 + MID(D75, 21, 6) / 86400000 + MAX(M75:M96))) * 60</f>
        <v>0.91668025420827004</v>
      </c>
      <c r="L78" s="3">
        <f>(MIN(G75:G96) / (DATEDIF(VALUE(DATE(2000 + MID(B15, 1, 2), MID(B15, 4, 2), MID(B15, 7, 2))), VALUE(DATEVALUE(MID(D75, 1, 10)) + TIMEVALUE(MID(D75, 12, 8)) + MID(D75, 21, 6) / 86400000), "d") * 1440 + (TIMEVALUE(MID(D75, 12, 8)) - TIMEVALUE(RIGHT(B15, 8))) * 1440 + MID(D75, 21, 6) / 86400000)) * 60</f>
        <v>0.91746738081958834</v>
      </c>
      <c r="M78" s="7">
        <f t="shared" si="38"/>
        <v>225.75884895000007</v>
      </c>
      <c r="N78">
        <f t="shared" si="36"/>
        <v>0.41460600000000003</v>
      </c>
    </row>
    <row r="79" spans="4:14" x14ac:dyDescent="0.45">
      <c r="D79" s="2" t="s">
        <v>101</v>
      </c>
      <c r="E79" s="2" t="s">
        <v>102</v>
      </c>
      <c r="F79" s="1" t="s">
        <v>220</v>
      </c>
      <c r="G79" s="3">
        <f t="shared" si="33"/>
        <v>3739.8975840000003</v>
      </c>
      <c r="H79" s="3">
        <f t="shared" si="34"/>
        <v>282.99479293333331</v>
      </c>
      <c r="I79" s="3">
        <f t="shared" si="35"/>
        <v>0.91426247570941011</v>
      </c>
      <c r="J79" s="7">
        <f t="shared" si="37"/>
        <v>0.84807214123030938</v>
      </c>
      <c r="M79" s="7">
        <f t="shared" si="38"/>
        <v>508.75364188333339</v>
      </c>
      <c r="N79">
        <f t="shared" si="36"/>
        <v>0.10241549999999999</v>
      </c>
    </row>
    <row r="80" spans="4:14" x14ac:dyDescent="0.45">
      <c r="D80" s="2" t="s">
        <v>120</v>
      </c>
      <c r="E80" s="2" t="s">
        <v>121</v>
      </c>
      <c r="F80" s="1" t="s">
        <v>122</v>
      </c>
      <c r="G80" s="3">
        <f t="shared" si="33"/>
        <v>3747.1160690000006</v>
      </c>
      <c r="H80" s="3">
        <f t="shared" si="34"/>
        <v>618.5797024333333</v>
      </c>
      <c r="I80" s="3">
        <f t="shared" si="35"/>
        <v>0.70016700886931782</v>
      </c>
      <c r="J80" s="7">
        <f t="shared" si="37"/>
        <v>0.77597114504695774</v>
      </c>
      <c r="K80" s="8" t="s">
        <v>995</v>
      </c>
      <c r="M80" s="7">
        <f t="shared" si="38"/>
        <v>1127.3333443166666</v>
      </c>
      <c r="N80">
        <f t="shared" si="36"/>
        <v>0.88392800000000005</v>
      </c>
    </row>
    <row r="81" spans="4:14" x14ac:dyDescent="0.45">
      <c r="D81" s="2" t="s">
        <v>140</v>
      </c>
      <c r="E81" s="2" t="s">
        <v>141</v>
      </c>
      <c r="F81" s="1" t="s">
        <v>142</v>
      </c>
      <c r="G81" s="3">
        <f t="shared" si="33"/>
        <v>3748.5221280000073</v>
      </c>
      <c r="H81" s="3">
        <f t="shared" si="34"/>
        <v>93.559906549999951</v>
      </c>
      <c r="I81" s="3">
        <f t="shared" si="35"/>
        <v>0.90170611655451838</v>
      </c>
      <c r="J81" s="7">
        <f t="shared" si="37"/>
        <v>0.64130034127316082</v>
      </c>
      <c r="K81">
        <f>_xlfn.STDEV.P(I76:I96)</f>
        <v>5.1298829374875315E-2</v>
      </c>
      <c r="M81" s="7">
        <f t="shared" si="38"/>
        <v>1220.8932508666667</v>
      </c>
      <c r="N81">
        <f t="shared" si="36"/>
        <v>0.4778675</v>
      </c>
    </row>
    <row r="82" spans="4:14" x14ac:dyDescent="0.45">
      <c r="D82" s="3" t="s">
        <v>163</v>
      </c>
      <c r="E82" s="3" t="s">
        <v>164</v>
      </c>
      <c r="F82" s="1" t="s">
        <v>165</v>
      </c>
      <c r="G82" s="3">
        <f t="shared" si="33"/>
        <v>3749.4601740000039</v>
      </c>
      <c r="H82" s="3">
        <f t="shared" si="34"/>
        <v>61.70102236666672</v>
      </c>
      <c r="I82" s="3">
        <f t="shared" si="35"/>
        <v>0.91218520927135616</v>
      </c>
      <c r="J82" s="7">
        <f t="shared" si="37"/>
        <v>0.97243121262143506</v>
      </c>
      <c r="M82" s="7">
        <f t="shared" si="38"/>
        <v>1282.5942732333333</v>
      </c>
      <c r="N82">
        <f t="shared" si="36"/>
        <v>0.53982550000000007</v>
      </c>
    </row>
    <row r="83" spans="4:14" x14ac:dyDescent="0.45">
      <c r="D83" s="3" t="s">
        <v>184</v>
      </c>
      <c r="E83" s="3" t="s">
        <v>185</v>
      </c>
      <c r="F83" s="1" t="s">
        <v>186</v>
      </c>
      <c r="G83" s="3">
        <f t="shared" si="33"/>
        <v>3752.7726689999949</v>
      </c>
      <c r="H83" s="3">
        <f t="shared" si="34"/>
        <v>217.39479393333343</v>
      </c>
      <c r="I83" s="3">
        <f t="shared" si="35"/>
        <v>0.9142339446289165</v>
      </c>
      <c r="J83" s="7">
        <f t="shared" si="37"/>
        <v>0.82798670908006666</v>
      </c>
      <c r="M83" s="7">
        <f t="shared" si="38"/>
        <v>1499.9890671666667</v>
      </c>
      <c r="N83">
        <f t="shared" si="36"/>
        <v>0.227328</v>
      </c>
    </row>
    <row r="84" spans="4:14" x14ac:dyDescent="0.45">
      <c r="D84" s="3" t="s">
        <v>205</v>
      </c>
      <c r="E84" s="3" t="s">
        <v>206</v>
      </c>
      <c r="F84" s="1" t="s">
        <v>207</v>
      </c>
      <c r="G84" s="3">
        <f t="shared" si="33"/>
        <v>3771.1478230000043</v>
      </c>
      <c r="H84" s="3">
        <f t="shared" si="34"/>
        <v>1203.1104098000001</v>
      </c>
      <c r="I84" s="3">
        <f t="shared" si="35"/>
        <v>0.91638242926003743</v>
      </c>
      <c r="J84" s="7">
        <f t="shared" si="37"/>
        <v>0.9475439583217542</v>
      </c>
      <c r="K84" s="6"/>
      <c r="M84" s="7">
        <f t="shared" ref="M84:M89" si="39">M83 + H84</f>
        <v>2703.0994769666668</v>
      </c>
      <c r="N84">
        <f t="shared" si="36"/>
        <v>0.85217399999999999</v>
      </c>
    </row>
    <row r="85" spans="4:14" x14ac:dyDescent="0.45">
      <c r="D85" s="3" t="s">
        <v>235</v>
      </c>
      <c r="E85" s="3" t="s">
        <v>236</v>
      </c>
      <c r="F85" s="1" t="s">
        <v>237</v>
      </c>
      <c r="G85" s="3">
        <f t="shared" si="33"/>
        <v>3773.0228789999983</v>
      </c>
      <c r="H85" s="3">
        <f t="shared" ref="H85:H90" si="40">((DATEVALUE(LEFT(D85,10))-DATEVALUE(LEFT(D84,10)))*86400+(TIMEVALUE(MID(D85,12,8))-TIMEVALUE(MID(D84,12,8)))*86400+(VALUE(RIGHT(D85,6))-VALUE(RIGHT(D84,6)))/1000000)/ 60</f>
        <v>121.2187455166667</v>
      </c>
      <c r="I85" s="3">
        <f t="shared" ref="I85:I90" si="41">3600 * (G85-G84) / ((DATEVALUE(LEFT(D85, 10))-DATEVALUE(LEFT(D84, 10))) * 86400 + (TIMEVALUE(MID(D85, 12, 8)) - TIMEVALUE(MID(D84, 12, 8))) * 86400 + (VALUE(RIGHT(D85, 6)) - VALUE(RIGHT(D84, 6))) / 1000000)</f>
        <v>0.92810199874711974</v>
      </c>
      <c r="J85" s="7">
        <f t="shared" ref="J85:J90" si="42">(FLOOR(G85, 1) - FLOOR(G84, 1)) / H85 * 60</f>
        <v>0.98994589894927487</v>
      </c>
      <c r="K85" s="6"/>
      <c r="M85" s="7">
        <f t="shared" si="39"/>
        <v>2824.3182224833336</v>
      </c>
      <c r="N85">
        <f t="shared" si="36"/>
        <v>0.97711749999999997</v>
      </c>
    </row>
    <row r="86" spans="4:14" x14ac:dyDescent="0.45">
      <c r="D86" s="3" t="s">
        <v>255</v>
      </c>
      <c r="E86" s="3" t="s">
        <v>256</v>
      </c>
      <c r="F86" s="1" t="s">
        <v>257</v>
      </c>
      <c r="G86" s="3">
        <f t="shared" si="33"/>
        <v>3782.5226680000005</v>
      </c>
      <c r="H86" s="3">
        <f t="shared" si="40"/>
        <v>618.7083452666667</v>
      </c>
      <c r="I86" s="3">
        <f t="shared" si="41"/>
        <v>0.92125368012365605</v>
      </c>
      <c r="J86" s="7">
        <f t="shared" si="42"/>
        <v>0.87278602936454175</v>
      </c>
      <c r="K86" s="6"/>
      <c r="M86" s="7">
        <f t="shared" si="39"/>
        <v>3443.0265677500001</v>
      </c>
      <c r="N86">
        <f t="shared" si="36"/>
        <v>0.47733100000000001</v>
      </c>
    </row>
    <row r="87" spans="4:14" x14ac:dyDescent="0.45">
      <c r="D87" s="3" t="s">
        <v>277</v>
      </c>
      <c r="E87" s="3" t="s">
        <v>278</v>
      </c>
      <c r="F87" s="1" t="s">
        <v>279</v>
      </c>
      <c r="G87" s="3">
        <f t="shared" si="33"/>
        <v>3792.5540780000078</v>
      </c>
      <c r="H87" s="3">
        <f t="shared" si="40"/>
        <v>658.06614323333315</v>
      </c>
      <c r="I87" s="3">
        <f t="shared" si="41"/>
        <v>0.91462629735538137</v>
      </c>
      <c r="J87" s="7">
        <f t="shared" si="42"/>
        <v>0.91176245149456903</v>
      </c>
      <c r="K87" s="6"/>
      <c r="M87" s="7">
        <f t="shared" si="39"/>
        <v>4101.0927109833337</v>
      </c>
      <c r="N87">
        <f t="shared" si="36"/>
        <v>0.44591900000000001</v>
      </c>
    </row>
    <row r="88" spans="4:14" x14ac:dyDescent="0.45">
      <c r="D88" s="3" t="s">
        <v>298</v>
      </c>
      <c r="E88" s="3" t="s">
        <v>299</v>
      </c>
      <c r="F88" s="1" t="s">
        <v>300</v>
      </c>
      <c r="G88" s="3">
        <f t="shared" si="33"/>
        <v>3801.9919900000091</v>
      </c>
      <c r="H88" s="3">
        <f t="shared" si="40"/>
        <v>612.75936059999992</v>
      </c>
      <c r="I88" s="3">
        <f t="shared" si="41"/>
        <v>0.92413883232332961</v>
      </c>
      <c r="J88" s="7">
        <f t="shared" si="42"/>
        <v>0.88125948736424753</v>
      </c>
      <c r="K88" s="6"/>
      <c r="M88" s="7">
        <f t="shared" si="39"/>
        <v>4713.8520715833338</v>
      </c>
      <c r="N88">
        <f t="shared" si="36"/>
        <v>2.4373499999999999E-2</v>
      </c>
    </row>
    <row r="89" spans="4:14" x14ac:dyDescent="0.45">
      <c r="D89" s="3" t="s">
        <v>321</v>
      </c>
      <c r="E89" s="3" t="s">
        <v>322</v>
      </c>
      <c r="F89" s="1" t="s">
        <v>323</v>
      </c>
      <c r="G89" s="3">
        <f t="shared" si="33"/>
        <v>3813.6788290000013</v>
      </c>
      <c r="H89" s="3">
        <f t="shared" si="40"/>
        <v>764.4052287333335</v>
      </c>
      <c r="I89" s="3">
        <f t="shared" si="41"/>
        <v>0.91732802660374613</v>
      </c>
      <c r="J89" s="7">
        <f t="shared" si="42"/>
        <v>0.94190878468097905</v>
      </c>
      <c r="K89" s="6"/>
      <c r="M89" s="7">
        <f t="shared" si="39"/>
        <v>5478.2573003166672</v>
      </c>
      <c r="N89">
        <f t="shared" si="36"/>
        <v>0.33707949999999998</v>
      </c>
    </row>
    <row r="90" spans="4:14" x14ac:dyDescent="0.45">
      <c r="D90" s="3" t="s">
        <v>356</v>
      </c>
      <c r="E90" s="3" t="s">
        <v>357</v>
      </c>
      <c r="F90" s="1" t="s">
        <v>358</v>
      </c>
      <c r="G90" s="3">
        <f t="shared" si="33"/>
        <v>3862.1792880000057</v>
      </c>
      <c r="H90" s="3">
        <f t="shared" si="40"/>
        <v>3162.9583194000002</v>
      </c>
      <c r="I90" s="3">
        <f t="shared" si="41"/>
        <v>0.92003347693569504</v>
      </c>
      <c r="J90" s="7">
        <f t="shared" si="42"/>
        <v>0.92950956133930518</v>
      </c>
      <c r="K90" s="6"/>
      <c r="M90" s="7">
        <f>M89 + H90</f>
        <v>8641.2156197166678</v>
      </c>
      <c r="N90">
        <f t="shared" si="36"/>
        <v>0.82071150000000004</v>
      </c>
    </row>
    <row r="91" spans="4:14" x14ac:dyDescent="0.45">
      <c r="D91" s="3" t="s">
        <v>381</v>
      </c>
      <c r="E91" s="3" t="s">
        <v>382</v>
      </c>
      <c r="F91" s="1" t="s">
        <v>383</v>
      </c>
      <c r="G91" s="3">
        <f t="shared" si="33"/>
        <v>3882.7415649999925</v>
      </c>
      <c r="H91" s="3">
        <f>((DATEVALUE(LEFT(D91,10))-DATEVALUE(LEFT(D90,10)))*86400+(TIMEVALUE(MID(D91,12,8))-TIMEVALUE(MID(D90,12,8)))*86400+(VALUE(RIGHT(D91,6))-VALUE(RIGHT(D90,6)))/1000000)/ 60</f>
        <v>1434.7406258166668</v>
      </c>
      <c r="I91" s="3">
        <f>3600 * (G91-G90) / ((DATEVALUE(LEFT(D91, 10))-DATEVALUE(LEFT(D90, 10))) * 86400 + (TIMEVALUE(MID(D91, 12, 8)) - TIMEVALUE(MID(D90, 12, 8))) * 86400 + (VALUE(RIGHT(D91, 6)) - VALUE(RIGHT(D90, 6))) / 1000000)</f>
        <v>0.85990219960277114</v>
      </c>
      <c r="J91" s="7">
        <f>(FLOOR(G91, 1) - FLOOR(G90, 1)) / H91 * 60</f>
        <v>0.83638810974419131</v>
      </c>
      <c r="K91" s="6"/>
      <c r="M91" s="7">
        <f>M90 + H91</f>
        <v>10075.956245533334</v>
      </c>
      <c r="N91">
        <f t="shared" si="36"/>
        <v>0.25843000000000005</v>
      </c>
    </row>
    <row r="92" spans="4:14" x14ac:dyDescent="0.45">
      <c r="D92" s="3" t="s">
        <v>408</v>
      </c>
      <c r="E92" s="3" t="s">
        <v>409</v>
      </c>
      <c r="F92" s="1" t="s">
        <v>410</v>
      </c>
      <c r="G92" s="3">
        <f t="shared" si="33"/>
        <v>3931.8978830000069</v>
      </c>
      <c r="H92" s="3">
        <f>((DATEVALUE(LEFT(D92,10))-DATEVALUE(LEFT(D91,10)))*86400+(TIMEVALUE(MID(D92,12,8))-TIMEVALUE(MID(D91,12,8)))*86400+(VALUE(RIGHT(D92,6))-VALUE(RIGHT(D91,6)))/1000000)/ 60</f>
        <v>3210.3973951666662</v>
      </c>
      <c r="I92" s="3">
        <f>3600 * (G92-G91) / ((DATEVALUE(LEFT(D92, 10))-DATEVALUE(LEFT(D91, 10))) * 86400 + (TIMEVALUE(MID(D92, 12, 8)) - TIMEVALUE(MID(D91, 12, 8))) * 86400 + (VALUE(RIGHT(D92, 6)) - VALUE(RIGHT(D91, 6))) / 1000000)</f>
        <v>0.91869594849573033</v>
      </c>
      <c r="J92" s="7">
        <f>(FLOOR(G92, 1) - FLOOR(G91, 1)) / H92 * 60</f>
        <v>0.91577447839518056</v>
      </c>
      <c r="K92" s="6"/>
      <c r="M92" s="7">
        <f>M91 + H92</f>
        <v>13286.353640700001</v>
      </c>
      <c r="N92">
        <f t="shared" si="36"/>
        <v>0.10211300000000001</v>
      </c>
    </row>
    <row r="93" spans="4:14" x14ac:dyDescent="0.45">
      <c r="D93" s="3" t="s">
        <v>432</v>
      </c>
      <c r="E93" s="3" t="s">
        <v>433</v>
      </c>
      <c r="F93" s="1" t="s">
        <v>434</v>
      </c>
      <c r="G93" s="3">
        <f t="shared" si="33"/>
        <v>3934.5225840000003</v>
      </c>
      <c r="H93" s="3">
        <f>((DATEVALUE(LEFT(D93,10))-DATEVALUE(LEFT(D92,10)))*86400+(TIMEVALUE(MID(D93,12,8))-TIMEVALUE(MID(D92,12,8)))*86400+(VALUE(RIGHT(D93,6))-VALUE(RIGHT(D92,6)))/1000000)/ 60</f>
        <v>171.42291764999999</v>
      </c>
      <c r="I93" s="3">
        <f>3600 * (G93-G92) / ((DATEVALUE(LEFT(D93, 10))-DATEVALUE(LEFT(D92, 10))) * 86400 + (TIMEVALUE(MID(D93, 12, 8)) - TIMEVALUE(MID(D92, 12, 8))) * 86400 + (VALUE(RIGHT(D93, 6)) - VALUE(RIGHT(D92, 6))) / 1000000)</f>
        <v>0.91867564826506098</v>
      </c>
      <c r="J93" s="7">
        <f>(FLOOR(G93, 1) - FLOOR(G92, 1)) / H93 * 60</f>
        <v>1.0500346305358783</v>
      </c>
      <c r="K93" s="6"/>
      <c r="M93" s="7">
        <f>M92 + H93</f>
        <v>13457.77655835</v>
      </c>
      <c r="N93">
        <f t="shared" si="36"/>
        <v>0.477412</v>
      </c>
    </row>
    <row r="94" spans="4:14" x14ac:dyDescent="0.45">
      <c r="D94" s="3"/>
      <c r="E94" s="3"/>
      <c r="J94" s="6"/>
      <c r="M94" s="6"/>
    </row>
    <row r="95" spans="4:14" x14ac:dyDescent="0.45">
      <c r="D95" s="3"/>
      <c r="E95" s="3"/>
      <c r="J95" s="6"/>
      <c r="M95" s="6"/>
    </row>
    <row r="96" spans="4:14" x14ac:dyDescent="0.45">
      <c r="D96" s="3"/>
      <c r="E96" s="3"/>
      <c r="J96" s="6"/>
      <c r="M96" s="6"/>
    </row>
    <row r="97" spans="4:14" x14ac:dyDescent="0.45">
      <c r="D97" s="12" t="str">
        <f>("№"&amp;B7&amp;" - "&amp;A7)</f>
        <v>№6 - IMG COR LSU</v>
      </c>
      <c r="E97" s="12"/>
      <c r="F97" s="12"/>
      <c r="G97" s="13"/>
      <c r="H97" s="13"/>
      <c r="I97" s="13"/>
      <c r="J97" s="14"/>
      <c r="K97" s="13"/>
      <c r="L97" s="13"/>
      <c r="M97" s="14"/>
      <c r="N97" s="13"/>
    </row>
    <row r="98" spans="4:14" x14ac:dyDescent="0.45">
      <c r="D98" s="12" t="s">
        <v>8</v>
      </c>
      <c r="E98" s="12" t="s">
        <v>9</v>
      </c>
      <c r="F98" s="12" t="s">
        <v>10</v>
      </c>
      <c r="G98" s="12" t="s">
        <v>346</v>
      </c>
      <c r="H98" s="12" t="s">
        <v>222</v>
      </c>
      <c r="I98" s="12" t="s">
        <v>223</v>
      </c>
      <c r="J98" s="12" t="s">
        <v>224</v>
      </c>
      <c r="K98" s="12" t="s">
        <v>225</v>
      </c>
      <c r="L98" s="12" t="s">
        <v>345</v>
      </c>
      <c r="M98" s="12" t="s">
        <v>344</v>
      </c>
      <c r="N98" s="12"/>
    </row>
    <row r="99" spans="4:14" x14ac:dyDescent="0.45">
      <c r="D99" s="2" t="s">
        <v>20</v>
      </c>
      <c r="E99" s="2" t="s">
        <v>21</v>
      </c>
      <c r="F99" s="1" t="s">
        <v>22</v>
      </c>
      <c r="G99" s="3">
        <f t="shared" ref="G99:G108" si="43">(DATEVALUE(LEFT(E99, 10))-DATEVALUE(LEFT(D99, 10))) * 86400 + (TIMEVALUE(MID(E99, 12, 8)) - TIMEVALUE(MID(D99, 12, 8))) * 86400 + (VALUE(RIGHT(E99, 6)) - VALUE(RIGHT(D99, 6))) / 1000000</f>
        <v>3876.8980290000013</v>
      </c>
      <c r="H99" s="3"/>
      <c r="I99" s="3"/>
      <c r="J99" s="6"/>
      <c r="K99" s="3">
        <f>((MAX(G99:G121)-MIN(G99:G121))/SUM(H100:H121)) * 60</f>
        <v>0.98479346875129592</v>
      </c>
      <c r="L99" s="3">
        <f>((FLOOR(MAX(G99:G121), 1)-FLOOR(MIN(G99:G121), 1))/SUM(H100:H121)) * 60</f>
        <v>0.98479728316973669</v>
      </c>
      <c r="M99" s="6">
        <v>0</v>
      </c>
      <c r="N99">
        <f>(MID(F99, 2, 7) + MID(F99, 12, 8)) / 2</f>
        <v>0.11764749999999999</v>
      </c>
    </row>
    <row r="100" spans="4:14" x14ac:dyDescent="0.45">
      <c r="D100" s="2" t="s">
        <v>43</v>
      </c>
      <c r="E100" s="2" t="s">
        <v>44</v>
      </c>
      <c r="F100" s="1" t="s">
        <v>221</v>
      </c>
      <c r="G100" s="3">
        <f t="shared" si="43"/>
        <v>3878.5851040000048</v>
      </c>
      <c r="H100" s="3">
        <f t="shared" ref="H100:H108" si="44">((DATEVALUE(LEFT(D100,10))-DATEVALUE(LEFT(D99,10)))*86400+(TIMEVALUE(MID(D100,12,8))-TIMEVALUE(MID(D99,12,8)))*86400+(VALUE(RIGHT(D100,6))-VALUE(RIGHT(D99,6)))/1000000)/ 60</f>
        <v>100.98855598333334</v>
      </c>
      <c r="I100" s="3">
        <f t="shared" ref="I100:I108" si="45">3600 * (G100-G99) / ((DATEVALUE(LEFT(D100, 10))-DATEVALUE(LEFT(D99, 10))) * 86400 + (TIMEVALUE(MID(D100, 12, 8)) - TIMEVALUE(MID(D99, 12, 8))) * 86400 + (VALUE(RIGHT(D100, 6)) - VALUE(RIGHT(D99, 6))) / 1000000)</f>
        <v>1.0023363440993573</v>
      </c>
      <c r="J100" s="7">
        <f>(FLOOR(G100, 1) - FLOOR(G99, 1)) / H100 * 60</f>
        <v>1.1882534494285095</v>
      </c>
      <c r="L100" s="3"/>
      <c r="M100" s="7">
        <f>M99 + H100</f>
        <v>100.98855598333334</v>
      </c>
      <c r="N100">
        <f t="shared" ref="N100:N117" si="46">(MID(F100, 2, 7) + MID(F100, 12, 8)) / 2</f>
        <v>0.41489549999999997</v>
      </c>
    </row>
    <row r="101" spans="4:14" x14ac:dyDescent="0.45">
      <c r="D101" s="2" t="s">
        <v>63</v>
      </c>
      <c r="E101" s="2" t="s">
        <v>64</v>
      </c>
      <c r="F101" s="1" t="s">
        <v>65</v>
      </c>
      <c r="G101" s="3">
        <f t="shared" si="43"/>
        <v>3879.7411490000018</v>
      </c>
      <c r="H101" s="3">
        <f t="shared" si="44"/>
        <v>69.580732083333402</v>
      </c>
      <c r="I101" s="3">
        <f t="shared" si="45"/>
        <v>0.99686648764700159</v>
      </c>
      <c r="J101" s="7">
        <f t="shared" ref="J101:J108" si="47">(FLOOR(G101, 1) - FLOOR(G100, 1)) / H101 * 60</f>
        <v>0.86230768495135934</v>
      </c>
      <c r="K101" t="s">
        <v>340</v>
      </c>
      <c r="L101" t="s">
        <v>341</v>
      </c>
      <c r="M101" s="7">
        <f t="shared" ref="M101:M107" si="48">M100 + H101</f>
        <v>170.56928806666673</v>
      </c>
      <c r="N101">
        <f t="shared" si="46"/>
        <v>0.25884849999999998</v>
      </c>
    </row>
    <row r="102" spans="4:14" x14ac:dyDescent="0.45">
      <c r="D102" s="2" t="s">
        <v>83</v>
      </c>
      <c r="E102" s="2" t="s">
        <v>84</v>
      </c>
      <c r="F102" s="1" t="s">
        <v>85</v>
      </c>
      <c r="G102" s="3">
        <f t="shared" si="43"/>
        <v>3880.8039839999992</v>
      </c>
      <c r="H102" s="3">
        <f t="shared" si="44"/>
        <v>63.732280449999948</v>
      </c>
      <c r="I102" s="3">
        <f t="shared" si="45"/>
        <v>1.0005934127820306</v>
      </c>
      <c r="J102" s="7">
        <f t="shared" si="47"/>
        <v>0.94143814682846561</v>
      </c>
      <c r="K102" s="3">
        <f>(MAX(G99:G120) / (DATEDIF(VALUE(DATE(2000 + MID(B16, 1, 2), MID(B16, 4, 2), MID(B16, 7, 2))), VALUE(DATEVALUE(MID(D99, 1, 10)) + TIMEVALUE(MID(D99, 12, 8)) + MID(D99, 21, 6) / 86400000), "d") * 1440 + (TIMEVALUE(MID(D99, 12, 8)) - TIMEVALUE(RIGHT(B16, 8))) * 1440 + MID(D99, 21, 6) / 86400000 + MAX(M99:M120))) * 60</f>
        <v>1.4506659354078693</v>
      </c>
      <c r="L102" s="3">
        <f>(MIN(G99:G120) / (DATEDIF(VALUE(DATE(2000 + MID(B16, 1, 2), MID(B16, 4, 2), MID(B16, 7, 2))), VALUE(DATEVALUE(MID(D99, 1, 10)) + TIMEVALUE(MID(D99, 12, 8)) + MID(D99, 21, 6) / 86400000), "d") * 1440 + (TIMEVALUE(MID(D99, 12, 8)) - TIMEVALUE(RIGHT(B16, 8))) * 1440 + MID(D99, 21, 6) / 86400000)) * 60</f>
        <v>1.4908698012994277</v>
      </c>
      <c r="M102" s="7">
        <f t="shared" si="48"/>
        <v>234.30156851666669</v>
      </c>
      <c r="N102">
        <f t="shared" si="46"/>
        <v>0.19601550000000001</v>
      </c>
    </row>
    <row r="103" spans="4:14" x14ac:dyDescent="0.45">
      <c r="D103" s="2" t="s">
        <v>103</v>
      </c>
      <c r="E103" s="2" t="s">
        <v>104</v>
      </c>
      <c r="F103" s="1" t="s">
        <v>105</v>
      </c>
      <c r="G103" s="3">
        <f t="shared" si="43"/>
        <v>3885.4914129999997</v>
      </c>
      <c r="H103" s="3">
        <f t="shared" si="44"/>
        <v>281.65521404999998</v>
      </c>
      <c r="I103" s="3">
        <f t="shared" si="45"/>
        <v>0.99854618686414209</v>
      </c>
      <c r="J103" s="7">
        <f t="shared" si="47"/>
        <v>1.0651320658553241</v>
      </c>
      <c r="M103" s="7">
        <f t="shared" si="48"/>
        <v>515.95678256666667</v>
      </c>
      <c r="N103">
        <f t="shared" si="46"/>
        <v>0.5248545</v>
      </c>
    </row>
    <row r="104" spans="4:14" x14ac:dyDescent="0.45">
      <c r="D104" s="2" t="s">
        <v>123</v>
      </c>
      <c r="E104" s="2" t="s">
        <v>124</v>
      </c>
      <c r="F104" s="1" t="s">
        <v>125</v>
      </c>
      <c r="G104" s="3">
        <f t="shared" si="43"/>
        <v>3893.4914730000028</v>
      </c>
      <c r="H104" s="3">
        <f t="shared" si="44"/>
        <v>616.00000536666664</v>
      </c>
      <c r="I104" s="3">
        <f t="shared" si="45"/>
        <v>0.77922661658820191</v>
      </c>
      <c r="J104" s="7">
        <f t="shared" si="47"/>
        <v>0.77922077243211341</v>
      </c>
      <c r="K104" s="8" t="s">
        <v>995</v>
      </c>
      <c r="M104" s="7">
        <f t="shared" si="48"/>
        <v>1131.9567879333333</v>
      </c>
      <c r="N104">
        <f t="shared" si="46"/>
        <v>0.52408750000000004</v>
      </c>
    </row>
    <row r="105" spans="4:14" x14ac:dyDescent="0.45">
      <c r="D105" s="2" t="s">
        <v>138</v>
      </c>
      <c r="E105" s="2" t="s">
        <v>139</v>
      </c>
      <c r="F105" s="1" t="s">
        <v>162</v>
      </c>
      <c r="G105" s="3">
        <f t="shared" si="43"/>
        <v>3894.9599330000046</v>
      </c>
      <c r="H105" s="3">
        <f t="shared" si="44"/>
        <v>88.175526050000002</v>
      </c>
      <c r="I105" s="3">
        <f t="shared" si="45"/>
        <v>0.99922964962126404</v>
      </c>
      <c r="J105" s="7">
        <f t="shared" si="47"/>
        <v>0.68046092479195364</v>
      </c>
      <c r="K105">
        <f>_xlfn.STDEV.P(I100:I120)</f>
        <v>5.1567335455919655E-2</v>
      </c>
      <c r="M105" s="7">
        <f t="shared" si="48"/>
        <v>1220.1323139833332</v>
      </c>
      <c r="N105">
        <f t="shared" si="46"/>
        <v>5.5362499999999995E-2</v>
      </c>
    </row>
    <row r="106" spans="4:14" x14ac:dyDescent="0.45">
      <c r="D106" s="3" t="s">
        <v>159</v>
      </c>
      <c r="E106" s="3" t="s">
        <v>160</v>
      </c>
      <c r="F106" s="1" t="s">
        <v>161</v>
      </c>
      <c r="G106" s="3">
        <f t="shared" si="43"/>
        <v>3895.8349480000015</v>
      </c>
      <c r="H106" s="3">
        <f t="shared" si="44"/>
        <v>53.418746316666656</v>
      </c>
      <c r="I106" s="3">
        <f t="shared" si="45"/>
        <v>0.98281789858166824</v>
      </c>
      <c r="J106" s="7">
        <f t="shared" si="47"/>
        <v>1.12320120064817</v>
      </c>
      <c r="M106" s="7">
        <f t="shared" si="48"/>
        <v>1273.5510602999998</v>
      </c>
      <c r="N106">
        <f t="shared" si="46"/>
        <v>0.16504750000000001</v>
      </c>
    </row>
    <row r="107" spans="4:14" x14ac:dyDescent="0.45">
      <c r="D107" s="3" t="s">
        <v>181</v>
      </c>
      <c r="E107" s="3" t="s">
        <v>182</v>
      </c>
      <c r="F107" s="1" t="s">
        <v>183</v>
      </c>
      <c r="G107" s="3">
        <f t="shared" si="43"/>
        <v>3899.5843799999984</v>
      </c>
      <c r="H107" s="3">
        <f t="shared" si="44"/>
        <v>227.22082721666663</v>
      </c>
      <c r="I107" s="3">
        <f t="shared" si="45"/>
        <v>0.99007614203119121</v>
      </c>
      <c r="J107" s="7">
        <f t="shared" si="47"/>
        <v>1.0562412035017712</v>
      </c>
      <c r="M107" s="7">
        <f t="shared" si="48"/>
        <v>1500.7718875166665</v>
      </c>
      <c r="N107">
        <f t="shared" si="46"/>
        <v>0.41561949999999998</v>
      </c>
    </row>
    <row r="108" spans="4:14" x14ac:dyDescent="0.45">
      <c r="D108" s="3" t="s">
        <v>202</v>
      </c>
      <c r="E108" s="3" t="s">
        <v>203</v>
      </c>
      <c r="F108" s="1" t="s">
        <v>204</v>
      </c>
      <c r="G108" s="3">
        <f t="shared" si="43"/>
        <v>3919.6165969999956</v>
      </c>
      <c r="H108" s="3">
        <f t="shared" si="44"/>
        <v>1202.0994725166668</v>
      </c>
      <c r="I108" s="3">
        <f t="shared" si="45"/>
        <v>0.9998615318277404</v>
      </c>
      <c r="J108" s="7">
        <f t="shared" si="47"/>
        <v>0.99825349518516027</v>
      </c>
      <c r="K108" s="6"/>
      <c r="M108" s="7">
        <f t="shared" ref="M108:M113" si="49">M107 + H108</f>
        <v>2702.8713600333331</v>
      </c>
      <c r="N108">
        <f t="shared" si="46"/>
        <v>0.38340150000000001</v>
      </c>
    </row>
    <row r="109" spans="4:14" x14ac:dyDescent="0.45">
      <c r="D109" s="3" t="s">
        <v>233</v>
      </c>
      <c r="E109" s="3" t="s">
        <v>232</v>
      </c>
      <c r="F109" s="1" t="s">
        <v>234</v>
      </c>
      <c r="G109" s="3">
        <f t="shared" ref="G109:G117" si="50">(DATEVALUE(LEFT(E109, 10))-DATEVALUE(LEFT(D109, 10))) * 86400 + (TIMEVALUE(MID(E109, 12, 8)) - TIMEVALUE(MID(D109, 12, 8))) * 86400 + (VALUE(RIGHT(E109, 6)) - VALUE(RIGHT(D109, 6))) / 1000000</f>
        <v>3921.6480819999992</v>
      </c>
      <c r="H109" s="3">
        <f t="shared" ref="H109:H114" si="51">((DATEVALUE(LEFT(D109,10))-DATEVALUE(LEFT(D108,10)))*86400+(TIMEVALUE(MID(D109,12,8))-TIMEVALUE(MID(D108,12,8)))*86400+(VALUE(RIGHT(D109,6))-VALUE(RIGHT(D108,6)))/1000000)/ 60</f>
        <v>120.6661386166666</v>
      </c>
      <c r="I109" s="3">
        <f t="shared" ref="I109:I114" si="52">3600 * (G109-G108) / ((DATEVALUE(LEFT(D109, 10))-DATEVALUE(LEFT(D108, 10))) * 86400 + (TIMEVALUE(MID(D109, 12, 8)) - TIMEVALUE(MID(D108, 12, 8))) * 86400 + (VALUE(RIGHT(D109, 6)) - VALUE(RIGHT(D108, 6))) / 1000000)</f>
        <v>1.0101350834423839</v>
      </c>
      <c r="J109" s="7">
        <f t="shared" ref="J109:J114" si="53">(FLOOR(G109, 1) - FLOOR(G108, 1)) / H109 * 60</f>
        <v>0.99447949006818892</v>
      </c>
      <c r="K109" s="6"/>
      <c r="M109" s="7">
        <f t="shared" si="49"/>
        <v>2823.5374986499996</v>
      </c>
      <c r="N109">
        <f t="shared" si="46"/>
        <v>0.35191749999999999</v>
      </c>
    </row>
    <row r="110" spans="4:14" x14ac:dyDescent="0.45">
      <c r="D110" s="3" t="s">
        <v>252</v>
      </c>
      <c r="E110" s="3" t="s">
        <v>253</v>
      </c>
      <c r="F110" s="1" t="s">
        <v>254</v>
      </c>
      <c r="G110" s="3">
        <f t="shared" si="50"/>
        <v>3931.991532</v>
      </c>
      <c r="H110" s="3">
        <f t="shared" si="51"/>
        <v>619.99428096666668</v>
      </c>
      <c r="I110" s="3">
        <f t="shared" si="52"/>
        <v>1.0009882656214562</v>
      </c>
      <c r="J110" s="7">
        <f t="shared" si="53"/>
        <v>0.96775086225716067</v>
      </c>
      <c r="K110" s="6"/>
      <c r="M110" s="7">
        <f t="shared" si="49"/>
        <v>3443.5317796166664</v>
      </c>
      <c r="N110">
        <f t="shared" si="46"/>
        <v>8.4634999999999988E-3</v>
      </c>
    </row>
    <row r="111" spans="4:14" x14ac:dyDescent="0.45">
      <c r="D111" s="3" t="s">
        <v>280</v>
      </c>
      <c r="E111" s="3" t="s">
        <v>281</v>
      </c>
      <c r="F111" s="1" t="s">
        <v>282</v>
      </c>
      <c r="G111" s="3">
        <f t="shared" si="50"/>
        <v>3943.022676999999</v>
      </c>
      <c r="H111" s="3">
        <f t="shared" si="51"/>
        <v>663.11614714999996</v>
      </c>
      <c r="I111" s="3">
        <f t="shared" si="52"/>
        <v>0.99811881047472528</v>
      </c>
      <c r="J111" s="7">
        <f t="shared" si="53"/>
        <v>1.085782638674206</v>
      </c>
      <c r="K111" s="6"/>
      <c r="M111" s="7">
        <f t="shared" si="49"/>
        <v>4106.6479267666664</v>
      </c>
      <c r="N111">
        <f t="shared" si="46"/>
        <v>0.97731900000000005</v>
      </c>
    </row>
    <row r="112" spans="4:14" x14ac:dyDescent="0.45">
      <c r="D112" s="3" t="s">
        <v>301</v>
      </c>
      <c r="E112" s="3" t="s">
        <v>302</v>
      </c>
      <c r="F112" s="1" t="s">
        <v>303</v>
      </c>
      <c r="G112" s="3">
        <f t="shared" si="50"/>
        <v>3953.3349799999978</v>
      </c>
      <c r="H112" s="3">
        <f t="shared" si="51"/>
        <v>615.51146874999984</v>
      </c>
      <c r="I112" s="3">
        <f t="shared" si="52"/>
        <v>1.0052423251454283</v>
      </c>
      <c r="J112" s="7">
        <f t="shared" si="53"/>
        <v>0.97479905812071876</v>
      </c>
      <c r="K112" s="6"/>
      <c r="M112" s="7">
        <f t="shared" si="49"/>
        <v>4722.1593955166663</v>
      </c>
      <c r="N112">
        <f t="shared" si="46"/>
        <v>0.66501849999999996</v>
      </c>
    </row>
    <row r="113" spans="4:14" x14ac:dyDescent="0.45">
      <c r="D113" s="3" t="s">
        <v>318</v>
      </c>
      <c r="E113" s="3" t="s">
        <v>319</v>
      </c>
      <c r="F113" s="1" t="s">
        <v>320</v>
      </c>
      <c r="G113" s="3">
        <f t="shared" si="50"/>
        <v>3965.9290010000041</v>
      </c>
      <c r="H113" s="3">
        <f t="shared" si="51"/>
        <v>756.19009664999999</v>
      </c>
      <c r="I113" s="3">
        <f t="shared" si="52"/>
        <v>0.99927420809654033</v>
      </c>
      <c r="J113" s="7">
        <f t="shared" si="53"/>
        <v>0.95214153582501826</v>
      </c>
      <c r="K113" s="6"/>
      <c r="M113" s="7">
        <f t="shared" si="49"/>
        <v>5478.3494921666661</v>
      </c>
      <c r="N113">
        <f t="shared" si="46"/>
        <v>7.091349999999999E-2</v>
      </c>
    </row>
    <row r="114" spans="4:14" x14ac:dyDescent="0.45">
      <c r="D114" s="3" t="s">
        <v>353</v>
      </c>
      <c r="E114" s="3" t="s">
        <v>354</v>
      </c>
      <c r="F114" s="1" t="s">
        <v>355</v>
      </c>
      <c r="G114" s="3">
        <f t="shared" si="50"/>
        <v>4018.7412160000013</v>
      </c>
      <c r="H114" s="3">
        <f t="shared" si="51"/>
        <v>3159.4364635833335</v>
      </c>
      <c r="I114" s="3">
        <f t="shared" si="52"/>
        <v>1.0029424349954974</v>
      </c>
      <c r="J114" s="7">
        <f t="shared" si="53"/>
        <v>1.0065086089414008</v>
      </c>
      <c r="K114" s="6"/>
      <c r="M114" s="7">
        <f>M113 + H114</f>
        <v>8637.7859557499996</v>
      </c>
      <c r="N114">
        <f t="shared" si="46"/>
        <v>0.25878049999999997</v>
      </c>
    </row>
    <row r="115" spans="4:14" x14ac:dyDescent="0.45">
      <c r="D115" s="3" t="s">
        <v>384</v>
      </c>
      <c r="E115" s="3" t="s">
        <v>385</v>
      </c>
      <c r="F115" s="1" t="s">
        <v>386</v>
      </c>
      <c r="G115" s="3">
        <f t="shared" si="50"/>
        <v>4041.4288289999986</v>
      </c>
      <c r="H115" s="3">
        <f>((DATEVALUE(LEFT(D115,10))-DATEVALUE(LEFT(D114,10)))*86400+(TIMEVALUE(MID(D115,12,8))-TIMEVALUE(MID(D114,12,8)))*86400+(VALUE(RIGHT(D115,6))-VALUE(RIGHT(D114,6)))/1000000)/ 60</f>
        <v>1443.6718729166666</v>
      </c>
      <c r="I115" s="3">
        <f>3600 * (G115-G114) / ((DATEVALUE(LEFT(D115, 10))-DATEVALUE(LEFT(D114, 10))) * 86400 + (TIMEVALUE(MID(D115, 12, 8)) - TIMEVALUE(MID(D114, 12, 8))) * 86400 + (VALUE(RIGHT(D115, 6)) - VALUE(RIGHT(D114, 6))) / 1000000)</f>
        <v>0.94291286374491534</v>
      </c>
      <c r="J115" s="7">
        <f>(FLOOR(G115, 1) - FLOOR(G114, 1)) / H115 * 60</f>
        <v>0.9558958831912201</v>
      </c>
      <c r="K115" s="6"/>
      <c r="M115" s="7">
        <f>M114 + H115</f>
        <v>10081.457828666666</v>
      </c>
      <c r="N115">
        <f t="shared" si="46"/>
        <v>0.58644499999999999</v>
      </c>
    </row>
    <row r="116" spans="4:14" x14ac:dyDescent="0.45">
      <c r="D116" s="3" t="s">
        <v>411</v>
      </c>
      <c r="E116" s="3" t="s">
        <v>412</v>
      </c>
      <c r="F116" s="1" t="s">
        <v>413</v>
      </c>
      <c r="G116" s="3">
        <f t="shared" si="50"/>
        <v>4095.0540819999974</v>
      </c>
      <c r="H116" s="3">
        <f>((DATEVALUE(LEFT(D116,10))-DATEVALUE(LEFT(D115,10)))*86400+(TIMEVALUE(MID(D116,12,8))-TIMEVALUE(MID(D115,12,8)))*86400+(VALUE(RIGHT(D116,6))-VALUE(RIGHT(D115,6)))/1000000)/ 60</f>
        <v>3212.4062438833334</v>
      </c>
      <c r="I116" s="3">
        <f>3600 * (G116-G115) / ((DATEVALUE(LEFT(D116, 10))-DATEVALUE(LEFT(D115, 10))) * 86400 + (TIMEVALUE(MID(D116, 12, 8)) - TIMEVALUE(MID(D115, 12, 8))) * 86400 + (VALUE(RIGHT(D116, 6)) - VALUE(RIGHT(D115, 6))) / 1000000)</f>
        <v>1.0015903767234677</v>
      </c>
      <c r="J116" s="7">
        <f>(FLOOR(G116, 1) - FLOOR(G115, 1)) / H116 * 60</f>
        <v>1.0085897467573433</v>
      </c>
      <c r="K116" s="6"/>
      <c r="M116" s="7">
        <f>M115 + H116</f>
        <v>13293.864072549999</v>
      </c>
      <c r="N116">
        <f t="shared" si="46"/>
        <v>0.94591650000000005</v>
      </c>
    </row>
    <row r="117" spans="4:14" x14ac:dyDescent="0.45">
      <c r="D117" s="3" t="s">
        <v>438</v>
      </c>
      <c r="E117" s="3" t="s">
        <v>439</v>
      </c>
      <c r="F117" s="1" t="s">
        <v>440</v>
      </c>
      <c r="G117" s="3">
        <f t="shared" si="50"/>
        <v>4097.8971730000003</v>
      </c>
      <c r="H117" s="3">
        <f>((DATEVALUE(LEFT(D117,10))-DATEVALUE(LEFT(D116,10)))*86400+(TIMEVALUE(MID(D117,12,8))-TIMEVALUE(MID(D116,12,8)))*86400+(VALUE(RIGHT(D117,6))-VALUE(RIGHT(D116,6)))/1000000)/ 60</f>
        <v>170.83594908333333</v>
      </c>
      <c r="I117" s="3">
        <f>3600 * (G117-G116) / ((DATEVALUE(LEFT(D117, 10))-DATEVALUE(LEFT(D116, 10))) * 86400 + (TIMEVALUE(MID(D117, 12, 8)) - TIMEVALUE(MID(D116, 12, 8))) * 86400 + (VALUE(RIGHT(D117, 6)) - VALUE(RIGHT(D116, 6))) / 1000000)</f>
        <v>0.99853374489091695</v>
      </c>
      <c r="J117" s="7">
        <f>(FLOOR(G117, 1) - FLOOR(G116, 1)) / H117 * 60</f>
        <v>0.70242826901417743</v>
      </c>
      <c r="K117" s="6"/>
      <c r="M117" s="7">
        <f>M116 + H117</f>
        <v>13464.700021633333</v>
      </c>
      <c r="N117">
        <f t="shared" si="46"/>
        <v>0.102822</v>
      </c>
    </row>
    <row r="118" spans="4:14" x14ac:dyDescent="0.45">
      <c r="D118" s="3"/>
      <c r="E118" s="3"/>
      <c r="J118" s="6"/>
      <c r="M118" s="6"/>
    </row>
    <row r="119" spans="4:14" x14ac:dyDescent="0.45">
      <c r="D119" s="3"/>
      <c r="E119" s="3"/>
      <c r="J119" s="6"/>
      <c r="M119" s="6"/>
    </row>
    <row r="120" spans="4:14" x14ac:dyDescent="0.45">
      <c r="D120" s="3"/>
      <c r="E120" s="3"/>
      <c r="J120" s="6"/>
      <c r="M120" s="6"/>
    </row>
    <row r="121" spans="4:14" x14ac:dyDescent="0.45">
      <c r="D121" s="12" t="str">
        <f>("№"&amp;B8&amp;" - "&amp;A8)</f>
        <v>№7 - IVAN ERR15</v>
      </c>
      <c r="E121" s="12"/>
      <c r="F121" s="12"/>
      <c r="G121" s="13"/>
      <c r="H121" s="13"/>
      <c r="I121" s="13"/>
      <c r="J121" s="14"/>
      <c r="K121" s="13"/>
      <c r="L121" s="13"/>
      <c r="M121" s="14"/>
      <c r="N121" s="13"/>
    </row>
    <row r="122" spans="4:14" x14ac:dyDescent="0.45">
      <c r="D122" s="12" t="s">
        <v>8</v>
      </c>
      <c r="E122" s="12" t="s">
        <v>9</v>
      </c>
      <c r="F122" s="12" t="s">
        <v>10</v>
      </c>
      <c r="G122" s="12" t="s">
        <v>346</v>
      </c>
      <c r="H122" s="12" t="s">
        <v>222</v>
      </c>
      <c r="I122" s="12" t="s">
        <v>223</v>
      </c>
      <c r="J122" s="12" t="s">
        <v>224</v>
      </c>
      <c r="K122" s="12" t="s">
        <v>225</v>
      </c>
      <c r="L122" s="12" t="s">
        <v>345</v>
      </c>
      <c r="M122" s="12" t="s">
        <v>344</v>
      </c>
      <c r="N122" s="12"/>
    </row>
    <row r="123" spans="4:14" x14ac:dyDescent="0.45">
      <c r="D123" s="2" t="s">
        <v>19</v>
      </c>
      <c r="E123" s="2" t="s">
        <v>18</v>
      </c>
      <c r="F123" s="1"/>
      <c r="G123" s="3">
        <f t="shared" ref="G123:G132" si="54">(DATEVALUE(LEFT(E123, 10))-DATEVALUE(LEFT(D123, 10))) * 86400 + (TIMEVALUE(MID(E123, 12, 8)) - TIMEVALUE(MID(D123, 12, 8))) * 86400 + (VALUE(RIGHT(E123, 6)) - VALUE(RIGHT(D123, 6))) / 1000000</f>
        <v>1238.8975140000048</v>
      </c>
      <c r="H123" s="3"/>
      <c r="I123" s="3"/>
      <c r="J123" s="6"/>
      <c r="K123" s="3">
        <f>((MAX(G123:G145)-MIN(G123:G145))/SUM(H124:H145)) * 60</f>
        <v>1.023336653963606</v>
      </c>
      <c r="L123" s="3">
        <f>((FLOOR(MAX(G123:G145), 1)-FLOOR(MIN(G123:G145), 1))/SUM(H124:H145)) * 60</f>
        <v>1.0245910741799764</v>
      </c>
      <c r="M123" s="6">
        <v>0</v>
      </c>
    </row>
    <row r="124" spans="4:14" x14ac:dyDescent="0.45">
      <c r="D124" s="2" t="s">
        <v>45</v>
      </c>
      <c r="E124" s="2" t="s">
        <v>46</v>
      </c>
      <c r="F124" s="1" t="s">
        <v>47</v>
      </c>
      <c r="G124" s="3">
        <f t="shared" si="54"/>
        <v>1240.7417109999988</v>
      </c>
      <c r="H124" s="3">
        <f t="shared" ref="H124:H132" si="55">((DATEVALUE(LEFT(D124,10))-DATEVALUE(LEFT(D123,10)))*86400+(TIMEVALUE(MID(D124,12,8))-TIMEVALUE(MID(D123,12,8)))*86400+(VALUE(RIGHT(D124,6))-VALUE(RIGHT(D123,6)))/1000000)/ 60</f>
        <v>104.73593795000012</v>
      </c>
      <c r="I124" s="3">
        <f t="shared" ref="I124:I132" si="56">3600 * (G124-G123) / ((DATEVALUE(LEFT(D124, 10))-DATEVALUE(LEFT(D123, 10))) * 86400 + (TIMEVALUE(MID(D124, 12, 8)) - TIMEVALUE(MID(D123, 12, 8))) * 86400 + (VALUE(RIGHT(D124, 6)) - VALUE(RIGHT(D123, 6))) / 1000000)</f>
        <v>1.0564837835553929</v>
      </c>
      <c r="J124" s="7">
        <f>(FLOOR(G124, 1) - FLOOR(G123, 1)) / H124 * 60</f>
        <v>1.1457385339623043</v>
      </c>
      <c r="L124" s="3"/>
      <c r="M124" s="7">
        <f>M123 + H124</f>
        <v>104.73593795000012</v>
      </c>
      <c r="N124">
        <f t="shared" ref="N124:N141" si="57">(MID(F124, 2, 7) + MID(F124, 12, 8)) / 2</f>
        <v>0.2582875</v>
      </c>
    </row>
    <row r="125" spans="4:14" x14ac:dyDescent="0.45">
      <c r="D125" s="2" t="s">
        <v>66</v>
      </c>
      <c r="E125" s="2" t="s">
        <v>67</v>
      </c>
      <c r="F125" s="1" t="s">
        <v>68</v>
      </c>
      <c r="G125" s="3">
        <f t="shared" si="54"/>
        <v>1241.9604779999956</v>
      </c>
      <c r="H125" s="3">
        <f t="shared" si="55"/>
        <v>70.879682799999941</v>
      </c>
      <c r="I125" s="3">
        <f t="shared" si="56"/>
        <v>1.0316922580784083</v>
      </c>
      <c r="J125" s="7">
        <f t="shared" ref="J125:J132" si="58">(FLOOR(G125, 1) - FLOOR(G124, 1)) / H125 * 60</f>
        <v>0.84650491692098895</v>
      </c>
      <c r="K125" t="s">
        <v>340</v>
      </c>
      <c r="L125" t="s">
        <v>341</v>
      </c>
      <c r="M125" s="7">
        <f t="shared" ref="M125:M131" si="59">M124 + H125</f>
        <v>175.61562075000006</v>
      </c>
      <c r="N125">
        <f t="shared" si="57"/>
        <v>3.9521500000000001E-2</v>
      </c>
    </row>
    <row r="126" spans="4:14" x14ac:dyDescent="0.45">
      <c r="D126" s="2" t="s">
        <v>86</v>
      </c>
      <c r="E126" s="2" t="s">
        <v>87</v>
      </c>
      <c r="F126" s="1" t="s">
        <v>88</v>
      </c>
      <c r="G126" s="3">
        <f t="shared" si="54"/>
        <v>1243.0854119999992</v>
      </c>
      <c r="H126" s="3">
        <f t="shared" si="55"/>
        <v>63.39792083333338</v>
      </c>
      <c r="I126" s="3">
        <f t="shared" si="56"/>
        <v>1.064641223450447</v>
      </c>
      <c r="J126" s="7">
        <f t="shared" si="58"/>
        <v>1.8928065530014411</v>
      </c>
      <c r="K126" s="3">
        <f>(MAX(G123:G144) / (DATEDIF(VALUE(DATE(2000 + MID(B17, 1, 2), MID(B17, 4, 2), MID(B17, 7, 2))), VALUE(DATEVALUE(MID(D123, 1, 10)) + TIMEVALUE(MID(D123, 12, 8)) + MID(D123, 21, 6) / 86400000), "d") * 1440 + (TIMEVALUE(MID(D123, 12, 8)) - TIMEVALUE(RIGHT(B17, 8))) * 1440 + MID(D123, 21, 6) / 86400000 + MAX(M123:M144))) * 60</f>
        <v>0.29598721779864545</v>
      </c>
      <c r="L126" s="3">
        <f>(MIN(G123:G144) / (DATEDIF(VALUE(DATE(2000 + MID(B17, 1, 2), MID(B17, 4, 2), MID(B17, 7, 2))), VALUE(DATEVALUE(MID(D123, 1, 10)) + TIMEVALUE(MID(D123, 12, 8)) + MID(D123, 21, 6) / 86400000), "d") * 1440 + (TIMEVALUE(MID(D123, 12, 8)) - TIMEVALUE(RIGHT(B17, 8))) * 1440 + MID(D123, 21, 6) / 86400000)) * 60</f>
        <v>0.26152114493567163</v>
      </c>
      <c r="M126" s="7">
        <f t="shared" si="59"/>
        <v>239.01354158333345</v>
      </c>
      <c r="N126">
        <f t="shared" si="57"/>
        <v>0.9145875</v>
      </c>
    </row>
    <row r="127" spans="4:14" x14ac:dyDescent="0.45">
      <c r="D127" s="2" t="s">
        <v>106</v>
      </c>
      <c r="E127" s="2" t="s">
        <v>107</v>
      </c>
      <c r="F127" s="1" t="s">
        <v>108</v>
      </c>
      <c r="G127" s="3">
        <f t="shared" si="54"/>
        <v>1247.9911000000002</v>
      </c>
      <c r="H127" s="3">
        <f t="shared" si="55"/>
        <v>283.30157341666666</v>
      </c>
      <c r="I127" s="3">
        <f t="shared" si="56"/>
        <v>1.0389680383707383</v>
      </c>
      <c r="J127" s="7">
        <f t="shared" si="58"/>
        <v>0.84715378423620424</v>
      </c>
      <c r="M127" s="7">
        <f t="shared" si="59"/>
        <v>522.31511500000011</v>
      </c>
      <c r="N127">
        <f t="shared" si="57"/>
        <v>2.4058E-2</v>
      </c>
    </row>
    <row r="128" spans="4:14" x14ac:dyDescent="0.45">
      <c r="D128" s="2" t="s">
        <v>126</v>
      </c>
      <c r="E128" s="2" t="s">
        <v>127</v>
      </c>
      <c r="F128" s="1" t="s">
        <v>128</v>
      </c>
      <c r="G128" s="3">
        <f t="shared" si="54"/>
        <v>1256.3351790000029</v>
      </c>
      <c r="H128" s="3">
        <f t="shared" si="55"/>
        <v>614.09425725000006</v>
      </c>
      <c r="I128" s="3">
        <f t="shared" si="56"/>
        <v>0.81525715977563251</v>
      </c>
      <c r="J128" s="7">
        <f t="shared" si="58"/>
        <v>0.87934383626740864</v>
      </c>
      <c r="K128" s="8" t="s">
        <v>995</v>
      </c>
      <c r="M128" s="7">
        <f t="shared" si="59"/>
        <v>1136.4093722500002</v>
      </c>
      <c r="N128">
        <f t="shared" si="57"/>
        <v>0.664821</v>
      </c>
    </row>
    <row r="129" spans="4:14" x14ac:dyDescent="0.45">
      <c r="D129" s="2" t="s">
        <v>136</v>
      </c>
      <c r="E129" s="2" t="s">
        <v>137</v>
      </c>
      <c r="F129" s="1" t="s">
        <v>155</v>
      </c>
      <c r="G129" s="3">
        <f t="shared" si="54"/>
        <v>1257.741866999995</v>
      </c>
      <c r="H129" s="3">
        <f t="shared" si="55"/>
        <v>81.409887750000053</v>
      </c>
      <c r="I129" s="3">
        <f t="shared" si="56"/>
        <v>1.0367448270990194</v>
      </c>
      <c r="J129" s="7">
        <f t="shared" si="58"/>
        <v>0.73701121151588822</v>
      </c>
      <c r="K129">
        <f>_xlfn.STDEV.P(I124:I144)</f>
        <v>5.3785975868571256E-2</v>
      </c>
      <c r="M129" s="7">
        <f t="shared" si="59"/>
        <v>1217.8192600000002</v>
      </c>
      <c r="N129">
        <f t="shared" si="57"/>
        <v>0.25812999999999997</v>
      </c>
    </row>
    <row r="130" spans="4:14" x14ac:dyDescent="0.45">
      <c r="D130" s="3" t="s">
        <v>156</v>
      </c>
      <c r="E130" s="3" t="s">
        <v>157</v>
      </c>
      <c r="F130" s="1" t="s">
        <v>158</v>
      </c>
      <c r="G130" s="3">
        <f t="shared" si="54"/>
        <v>1258.7091980000016</v>
      </c>
      <c r="H130" s="3">
        <f t="shared" si="55"/>
        <v>55.38390276666658</v>
      </c>
      <c r="I130" s="3">
        <f t="shared" si="56"/>
        <v>1.0479554004152098</v>
      </c>
      <c r="J130" s="7">
        <f t="shared" si="58"/>
        <v>1.0833472724517288</v>
      </c>
      <c r="M130" s="7">
        <f t="shared" si="59"/>
        <v>1273.2031627666668</v>
      </c>
      <c r="N130">
        <f t="shared" si="57"/>
        <v>0.29080149999999999</v>
      </c>
    </row>
    <row r="131" spans="4:14" x14ac:dyDescent="0.45">
      <c r="D131" s="3" t="s">
        <v>178</v>
      </c>
      <c r="E131" s="3" t="s">
        <v>179</v>
      </c>
      <c r="F131" s="1" t="s">
        <v>180</v>
      </c>
      <c r="G131" s="3">
        <f t="shared" si="54"/>
        <v>1262.647357999999</v>
      </c>
      <c r="H131" s="3">
        <f t="shared" si="55"/>
        <v>228.06767136666679</v>
      </c>
      <c r="I131" s="3">
        <f t="shared" si="56"/>
        <v>1.0360503905876259</v>
      </c>
      <c r="J131" s="7">
        <f t="shared" si="58"/>
        <v>1.052319246133528</v>
      </c>
      <c r="M131" s="7">
        <f t="shared" si="59"/>
        <v>1501.2708341333337</v>
      </c>
      <c r="N131">
        <f t="shared" si="57"/>
        <v>0.35263949999999999</v>
      </c>
    </row>
    <row r="132" spans="4:14" x14ac:dyDescent="0.45">
      <c r="D132" s="3" t="s">
        <v>199</v>
      </c>
      <c r="E132" s="3" t="s">
        <v>200</v>
      </c>
      <c r="F132" s="1" t="s">
        <v>201</v>
      </c>
      <c r="G132" s="3">
        <f t="shared" si="54"/>
        <v>1283.3975400000022</v>
      </c>
      <c r="H132" s="3">
        <f t="shared" si="55"/>
        <v>1201.2375062166668</v>
      </c>
      <c r="I132" s="3">
        <f t="shared" si="56"/>
        <v>1.0364402656069154</v>
      </c>
      <c r="J132" s="7">
        <f t="shared" si="58"/>
        <v>1.0489182975716498</v>
      </c>
      <c r="K132" s="6"/>
      <c r="M132" s="7">
        <f t="shared" ref="M132:M137" si="60">M131 + H132</f>
        <v>2702.5083403500003</v>
      </c>
      <c r="N132">
        <f t="shared" si="57"/>
        <v>0.60245649999999995</v>
      </c>
    </row>
    <row r="133" spans="4:14" x14ac:dyDescent="0.45">
      <c r="D133" s="3" t="s">
        <v>230</v>
      </c>
      <c r="E133" s="3" t="s">
        <v>229</v>
      </c>
      <c r="F133" s="3" t="s">
        <v>231</v>
      </c>
      <c r="G133" s="3">
        <f t="shared" ref="G133:G141" si="61">(DATEVALUE(LEFT(E133, 10))-DATEVALUE(LEFT(D133, 10))) * 86400 + (TIMEVALUE(MID(E133, 12, 8)) - TIMEVALUE(MID(D133, 12, 8))) * 86400 + (VALUE(RIGHT(E133, 6)) - VALUE(RIGHT(D133, 6))) / 1000000</f>
        <v>1285.4914829999962</v>
      </c>
      <c r="H133" s="3">
        <f t="shared" ref="H133:H138" si="62">((DATEVALUE(LEFT(D133,10))-DATEVALUE(LEFT(D132,10)))*86400+(TIMEVALUE(MID(D133,12,8))-TIMEVALUE(MID(D132,12,8)))*86400+(VALUE(RIGHT(D133,6))-VALUE(RIGHT(D132,6)))/1000000)/ 60</f>
        <v>119.11509845000002</v>
      </c>
      <c r="I133" s="3">
        <f t="shared" ref="I133:I138" si="63">3600 * (G133-G132) / ((DATEVALUE(LEFT(D133, 10))-DATEVALUE(LEFT(D132, 10))) * 86400 + (TIMEVALUE(MID(D133, 12, 8)) - TIMEVALUE(MID(D132, 12, 8))) * 86400 + (VALUE(RIGHT(D133, 6)) - VALUE(RIGHT(D132, 6))) / 1000000)</f>
        <v>1.0547494115733278</v>
      </c>
      <c r="J133" s="7">
        <f t="shared" ref="J133:J138" si="64">(FLOOR(G133, 1) - FLOOR(G132, 1)) / H133 * 60</f>
        <v>1.0074289620838575</v>
      </c>
      <c r="K133" s="6"/>
      <c r="M133" s="7">
        <f t="shared" si="60"/>
        <v>2821.6234388000003</v>
      </c>
      <c r="N133">
        <f t="shared" si="57"/>
        <v>0.50851500000000005</v>
      </c>
    </row>
    <row r="134" spans="4:14" x14ac:dyDescent="0.45">
      <c r="D134" s="3" t="s">
        <v>249</v>
      </c>
      <c r="E134" s="3" t="s">
        <v>250</v>
      </c>
      <c r="F134" s="3" t="s">
        <v>251</v>
      </c>
      <c r="G134" s="3">
        <f t="shared" si="61"/>
        <v>1296.272649</v>
      </c>
      <c r="H134" s="3">
        <f t="shared" si="62"/>
        <v>621.20364979999988</v>
      </c>
      <c r="I134" s="3">
        <f t="shared" si="63"/>
        <v>1.0413170627836692</v>
      </c>
      <c r="J134" s="7">
        <f t="shared" si="64"/>
        <v>1.0624535129703292</v>
      </c>
      <c r="K134" s="6"/>
      <c r="M134" s="7">
        <f t="shared" si="60"/>
        <v>3442.8270886</v>
      </c>
      <c r="N134">
        <f t="shared" si="57"/>
        <v>0.72735050000000001</v>
      </c>
    </row>
    <row r="135" spans="4:14" x14ac:dyDescent="0.45">
      <c r="D135" s="3" t="s">
        <v>283</v>
      </c>
      <c r="E135" s="3" t="s">
        <v>284</v>
      </c>
      <c r="F135" s="3" t="s">
        <v>285</v>
      </c>
      <c r="G135" s="3">
        <f t="shared" si="61"/>
        <v>1307.9604200000063</v>
      </c>
      <c r="H135" s="3">
        <f t="shared" si="62"/>
        <v>676.25520254999981</v>
      </c>
      <c r="I135" s="3">
        <f t="shared" si="63"/>
        <v>1.0369846433063499</v>
      </c>
      <c r="J135" s="7">
        <f t="shared" si="64"/>
        <v>0.97596291682680547</v>
      </c>
      <c r="K135" s="6"/>
      <c r="M135" s="7">
        <f t="shared" si="60"/>
        <v>4119.0822911499999</v>
      </c>
      <c r="N135">
        <f t="shared" si="57"/>
        <v>3.9577500000000002E-2</v>
      </c>
    </row>
    <row r="136" spans="4:14" x14ac:dyDescent="0.45">
      <c r="D136" s="3" t="s">
        <v>304</v>
      </c>
      <c r="E136" s="3" t="s">
        <v>305</v>
      </c>
      <c r="F136" s="3" t="s">
        <v>306</v>
      </c>
      <c r="G136" s="3">
        <f t="shared" si="61"/>
        <v>1318.5226910000013</v>
      </c>
      <c r="H136" s="3">
        <f t="shared" si="62"/>
        <v>607.45729874999995</v>
      </c>
      <c r="I136" s="3">
        <f t="shared" si="63"/>
        <v>1.0432605901744474</v>
      </c>
      <c r="J136" s="7">
        <f t="shared" si="64"/>
        <v>1.0864961230330432</v>
      </c>
      <c r="K136" s="6"/>
      <c r="M136" s="7">
        <f t="shared" si="60"/>
        <v>4726.5395898999996</v>
      </c>
      <c r="N136">
        <f t="shared" si="57"/>
        <v>0.47730899999999998</v>
      </c>
    </row>
    <row r="137" spans="4:14" x14ac:dyDescent="0.45">
      <c r="D137" s="3" t="s">
        <v>315</v>
      </c>
      <c r="E137" s="3" t="s">
        <v>316</v>
      </c>
      <c r="F137" s="3" t="s">
        <v>317</v>
      </c>
      <c r="G137" s="3">
        <f t="shared" si="61"/>
        <v>1331.5539580000002</v>
      </c>
      <c r="H137" s="3">
        <f t="shared" si="62"/>
        <v>751.96613690000015</v>
      </c>
      <c r="I137" s="3">
        <f t="shared" si="63"/>
        <v>1.0397755718405621</v>
      </c>
      <c r="J137" s="7">
        <f t="shared" si="64"/>
        <v>1.0372807520503118</v>
      </c>
      <c r="K137" s="6"/>
      <c r="M137" s="7">
        <f t="shared" si="60"/>
        <v>5478.5057268</v>
      </c>
      <c r="N137">
        <f t="shared" si="57"/>
        <v>0.4624625</v>
      </c>
    </row>
    <row r="138" spans="4:14" x14ac:dyDescent="0.45">
      <c r="D138" s="3" t="s">
        <v>362</v>
      </c>
      <c r="E138" s="3" t="s">
        <v>363</v>
      </c>
      <c r="F138" s="3" t="s">
        <v>364</v>
      </c>
      <c r="G138" s="3">
        <f t="shared" si="61"/>
        <v>1386.6165789999961</v>
      </c>
      <c r="H138" s="3">
        <f t="shared" si="62"/>
        <v>3175.2489568166666</v>
      </c>
      <c r="I138" s="3">
        <f t="shared" si="63"/>
        <v>1.0404718826557542</v>
      </c>
      <c r="J138" s="7">
        <f t="shared" si="64"/>
        <v>1.0392885864635957</v>
      </c>
      <c r="K138" s="6"/>
      <c r="M138" s="7">
        <f>M137 + H138</f>
        <v>8653.7546836166657</v>
      </c>
      <c r="N138">
        <f t="shared" si="57"/>
        <v>0.38341950000000002</v>
      </c>
    </row>
    <row r="139" spans="4:14" x14ac:dyDescent="0.45">
      <c r="D139" s="3" t="s">
        <v>387</v>
      </c>
      <c r="E139" s="3" t="s">
        <v>388</v>
      </c>
      <c r="F139" s="3" t="s">
        <v>389</v>
      </c>
      <c r="G139" s="3">
        <f t="shared" si="61"/>
        <v>1410.0541059999998</v>
      </c>
      <c r="H139" s="3">
        <f>((DATEVALUE(LEFT(D139,10))-DATEVALUE(LEFT(D138,10)))*86400+(TIMEVALUE(MID(D139,12,8))-TIMEVALUE(MID(D138,12,8)))*86400+(VALUE(RIGHT(D139,6))-VALUE(RIGHT(D138,6)))/1000000)/ 60</f>
        <v>1434.1427132166668</v>
      </c>
      <c r="I139" s="3">
        <f>3600 * (G139-G138) / ((DATEVALUE(LEFT(D139, 10))-DATEVALUE(LEFT(D138, 10))) * 86400 + (TIMEVALUE(MID(D139, 12, 8)) - TIMEVALUE(MID(D138, 12, 8))) * 86400 + (VALUE(RIGHT(D139, 6)) - VALUE(RIGHT(D138, 6))) / 1000000)</f>
        <v>0.98055207967839664</v>
      </c>
      <c r="J139" s="7">
        <f>(FLOOR(G139, 1) - FLOOR(G138, 1)) / H139 * 60</f>
        <v>1.0040841728855532</v>
      </c>
      <c r="K139" s="6"/>
      <c r="M139" s="7">
        <f>M138 + H139</f>
        <v>10087.897396833332</v>
      </c>
      <c r="N139">
        <f t="shared" si="57"/>
        <v>0.9458915</v>
      </c>
    </row>
    <row r="140" spans="4:14" x14ac:dyDescent="0.45">
      <c r="D140" s="3" t="s">
        <v>414</v>
      </c>
      <c r="E140" s="3" t="s">
        <v>415</v>
      </c>
      <c r="F140" s="3" t="s">
        <v>416</v>
      </c>
      <c r="G140" s="3">
        <f t="shared" si="61"/>
        <v>1465.6783829999956</v>
      </c>
      <c r="H140" s="3">
        <f>((DATEVALUE(LEFT(D140,10))-DATEVALUE(LEFT(D139,10)))*86400+(TIMEVALUE(MID(D140,12,8))-TIMEVALUE(MID(D139,12,8)))*86400+(VALUE(RIGHT(D140,6))-VALUE(RIGHT(D139,6)))/1000000)/ 60</f>
        <v>3210.8395917166663</v>
      </c>
      <c r="I140" s="3">
        <f>3600 * (G140-G139) / ((DATEVALUE(LEFT(D140, 10))-DATEVALUE(LEFT(D139, 10))) * 86400 + (TIMEVALUE(MID(D140, 12, 8)) - TIMEVALUE(MID(D139, 12, 8))) * 86400 + (VALUE(RIGHT(D140, 6)) - VALUE(RIGHT(D139, 6))) / 1000000)</f>
        <v>1.0394342428720913</v>
      </c>
      <c r="J140" s="7">
        <f>(FLOOR(G140, 1) - FLOOR(G139, 1)) / H140 * 60</f>
        <v>1.0277685651171582</v>
      </c>
      <c r="K140" s="6"/>
      <c r="M140" s="7">
        <f>M139 + H140</f>
        <v>13298.736988549997</v>
      </c>
      <c r="N140">
        <f t="shared" si="57"/>
        <v>0.33666950000000001</v>
      </c>
    </row>
    <row r="141" spans="4:14" x14ac:dyDescent="0.45">
      <c r="D141" s="3" t="s">
        <v>441</v>
      </c>
      <c r="E141" s="3" t="s">
        <v>442</v>
      </c>
      <c r="F141" s="3" t="s">
        <v>443</v>
      </c>
      <c r="G141" s="3">
        <f t="shared" si="61"/>
        <v>1468.6159220000002</v>
      </c>
      <c r="H141" s="3">
        <f>((DATEVALUE(LEFT(D141,10))-DATEVALUE(LEFT(D140,10)))*86400+(TIMEVALUE(MID(D141,12,8))-TIMEVALUE(MID(D140,12,8)))*86400+(VALUE(RIGHT(D141,6))-VALUE(RIGHT(D140,6)))/1000000)/ 60</f>
        <v>170.05104578333334</v>
      </c>
      <c r="I141" s="3">
        <f>3600 * (G141-G140) / ((DATEVALUE(LEFT(D141, 10))-DATEVALUE(LEFT(D140, 10))) * 86400 + (TIMEVALUE(MID(D141, 12, 8)) - TIMEVALUE(MID(D140, 12, 8))) * 86400 + (VALUE(RIGHT(D141, 6)) - VALUE(RIGHT(D140, 6))) / 1000000)</f>
        <v>1.0364672512796049</v>
      </c>
      <c r="J141" s="7">
        <f>(FLOOR(G141, 1) - FLOOR(G140, 1)) / H141 * 60</f>
        <v>1.058505692633863</v>
      </c>
      <c r="K141" s="6"/>
      <c r="M141" s="7">
        <f>M140 + H141</f>
        <v>13468.788034333331</v>
      </c>
      <c r="N141">
        <f t="shared" si="57"/>
        <v>0.39925900000000003</v>
      </c>
    </row>
    <row r="142" spans="4:14" x14ac:dyDescent="0.45">
      <c r="D142" s="3"/>
      <c r="E142" s="3"/>
      <c r="F142" s="3"/>
      <c r="J142" s="6"/>
      <c r="M142" s="6"/>
    </row>
    <row r="143" spans="4:14" x14ac:dyDescent="0.45">
      <c r="D143" s="3"/>
      <c r="E143" s="3"/>
      <c r="F143" s="3"/>
      <c r="J143" s="6"/>
      <c r="M143" s="6"/>
    </row>
    <row r="144" spans="4:14" x14ac:dyDescent="0.45">
      <c r="D144" s="3"/>
      <c r="E144" s="3"/>
      <c r="F144" s="3"/>
      <c r="J144" s="6"/>
      <c r="M144" s="6"/>
    </row>
    <row r="145" spans="4:14" x14ac:dyDescent="0.45">
      <c r="D145" s="12" t="str">
        <f>("№"&amp;B9&amp;" - "&amp;A9)</f>
        <v>№8 - AIM TRAINING DEVICE</v>
      </c>
      <c r="E145" s="12"/>
      <c r="F145" s="12"/>
      <c r="G145" s="13"/>
      <c r="H145" s="13"/>
      <c r="I145" s="13"/>
      <c r="J145" s="14"/>
      <c r="K145" s="13"/>
      <c r="L145" s="13"/>
      <c r="M145" s="14"/>
      <c r="N145" s="13"/>
    </row>
    <row r="146" spans="4:14" x14ac:dyDescent="0.45">
      <c r="D146" s="12" t="s">
        <v>8</v>
      </c>
      <c r="E146" s="12" t="s">
        <v>9</v>
      </c>
      <c r="F146" s="12" t="s">
        <v>10</v>
      </c>
      <c r="G146" s="12" t="s">
        <v>346</v>
      </c>
      <c r="H146" s="12" t="s">
        <v>222</v>
      </c>
      <c r="I146" s="12" t="s">
        <v>223</v>
      </c>
      <c r="J146" s="12" t="s">
        <v>224</v>
      </c>
      <c r="K146" s="12" t="s">
        <v>225</v>
      </c>
      <c r="L146" s="12" t="s">
        <v>345</v>
      </c>
      <c r="M146" s="12" t="s">
        <v>344</v>
      </c>
      <c r="N146" s="12"/>
    </row>
    <row r="147" spans="4:14" x14ac:dyDescent="0.45">
      <c r="D147" s="2" t="s">
        <v>15</v>
      </c>
      <c r="E147" s="2" t="s">
        <v>16</v>
      </c>
      <c r="F147" s="1" t="s">
        <v>17</v>
      </c>
      <c r="G147" s="3">
        <f t="shared" ref="G147:G156" si="65">(DATEVALUE(LEFT(E147, 10))-DATEVALUE(LEFT(D147, 10))) * 86400 + (TIMEVALUE(MID(E147, 12, 8)) - TIMEVALUE(MID(D147, 12, 8))) * 86400 + (VALUE(RIGHT(E147, 6)) - VALUE(RIGHT(D147, 6))) / 1000000</f>
        <v>-3269.195714999993</v>
      </c>
      <c r="H147" s="3"/>
      <c r="I147" s="3"/>
      <c r="J147" s="6"/>
      <c r="K147" s="3">
        <f>((MAX(G147:G169)-MIN(G147:G169))/SUM(H148:H169)) * 60</f>
        <v>0.93265426291504439</v>
      </c>
      <c r="L147" s="3">
        <f>((FLOOR(MAX(G147:G169), 1)-FLOOR(MIN(G147:G169), 1))/SUM(H148:H169)) * 60</f>
        <v>0.93585932261961502</v>
      </c>
      <c r="M147" s="6">
        <v>0</v>
      </c>
      <c r="N147">
        <f>(MID(F147, 2, 7) + MID(F147, 12, 8)) / 2</f>
        <v>0.2132435</v>
      </c>
    </row>
    <row r="148" spans="4:14" x14ac:dyDescent="0.45">
      <c r="D148" s="2" t="s">
        <v>48</v>
      </c>
      <c r="E148" s="2" t="s">
        <v>49</v>
      </c>
      <c r="F148" s="1" t="s">
        <v>50</v>
      </c>
      <c r="G148" s="3">
        <f t="shared" si="65"/>
        <v>-3267.4538239999993</v>
      </c>
      <c r="H148" s="3">
        <f t="shared" ref="H148:H156" si="66">((DATEVALUE(LEFT(D148,10))-DATEVALUE(LEFT(D147,10)))*86400+(TIMEVALUE(MID(D148,12,8))-TIMEVALUE(MID(D147,12,8)))*86400+(VALUE(RIGHT(D148,6))-VALUE(RIGHT(D147,6)))/1000000)/ 60</f>
        <v>111.20416545000012</v>
      </c>
      <c r="I148" s="3">
        <f t="shared" ref="I148:I156" si="67">3600 * (G148-G147) / ((DATEVALUE(LEFT(D148, 10))-DATEVALUE(LEFT(D147, 10))) * 86400 + (TIMEVALUE(MID(D148, 12, 8)) - TIMEVALUE(MID(D147, 12, 8))) * 86400 + (VALUE(RIGHT(D148, 6)) - VALUE(RIGHT(D147, 6))) / 1000000)</f>
        <v>0.93983403927991349</v>
      </c>
      <c r="J148" s="7">
        <f>(FLOOR(G148, 1) - FLOOR(G147, 1)) / H148 * 60</f>
        <v>1.0790962686910743</v>
      </c>
      <c r="L148" s="3"/>
      <c r="M148" s="7">
        <f>M147 + H148</f>
        <v>111.20416545000012</v>
      </c>
      <c r="N148">
        <f t="shared" ref="N148:N156" si="68">(MID(F148, 2, 7) + MID(F148, 12, 8)) / 2</f>
        <v>0.45382100000000003</v>
      </c>
    </row>
    <row r="149" spans="4:14" x14ac:dyDescent="0.45">
      <c r="D149" s="2" t="s">
        <v>69</v>
      </c>
      <c r="E149" s="2" t="s">
        <v>70</v>
      </c>
      <c r="F149" s="1" t="s">
        <v>135</v>
      </c>
      <c r="G149" s="3">
        <f t="shared" si="65"/>
        <v>-3266.2897730000022</v>
      </c>
      <c r="H149" s="3">
        <f t="shared" si="66"/>
        <v>73.347394683333292</v>
      </c>
      <c r="I149" s="3">
        <f t="shared" si="67"/>
        <v>0.95222277902791552</v>
      </c>
      <c r="J149" s="7">
        <f t="shared" ref="J149:J156" si="69">(FLOOR(G149, 1) - FLOOR(G148, 1)) / H149 * 60</f>
        <v>0.81802496542707848</v>
      </c>
      <c r="K149" t="s">
        <v>340</v>
      </c>
      <c r="L149" t="s">
        <v>341</v>
      </c>
      <c r="M149" s="7">
        <f t="shared" ref="M149:M155" si="70">M148 + H149</f>
        <v>184.5515601333334</v>
      </c>
      <c r="N149">
        <f t="shared" si="68"/>
        <v>0.28976999999999997</v>
      </c>
    </row>
    <row r="150" spans="4:14" x14ac:dyDescent="0.45">
      <c r="D150" s="2" t="s">
        <v>89</v>
      </c>
      <c r="E150" s="2" t="s">
        <v>90</v>
      </c>
      <c r="F150" s="1" t="s">
        <v>91</v>
      </c>
      <c r="G150" s="3">
        <f t="shared" si="65"/>
        <v>-3265.3211430000056</v>
      </c>
      <c r="H150" s="3">
        <f t="shared" si="66"/>
        <v>61.283868533333369</v>
      </c>
      <c r="I150" s="3">
        <f t="shared" si="67"/>
        <v>0.94833765215374111</v>
      </c>
      <c r="J150" s="7">
        <f t="shared" si="69"/>
        <v>0.97905046525196027</v>
      </c>
      <c r="K150" s="3" t="s">
        <v>343</v>
      </c>
      <c r="L150" s="3" t="s">
        <v>343</v>
      </c>
      <c r="M150" s="7">
        <f t="shared" si="70"/>
        <v>245.83542866666676</v>
      </c>
      <c r="N150">
        <f t="shared" si="68"/>
        <v>0.32113849999999999</v>
      </c>
    </row>
    <row r="151" spans="4:14" x14ac:dyDescent="0.45">
      <c r="D151" s="2" t="s">
        <v>109</v>
      </c>
      <c r="E151" s="2" t="s">
        <v>110</v>
      </c>
      <c r="F151" s="1" t="s">
        <v>111</v>
      </c>
      <c r="G151" s="3">
        <f t="shared" si="65"/>
        <v>-3260.8526059999999</v>
      </c>
      <c r="H151" s="3">
        <f t="shared" si="66"/>
        <v>283.75885495</v>
      </c>
      <c r="I151" s="3">
        <f t="shared" si="67"/>
        <v>0.94485939495203475</v>
      </c>
      <c r="J151" s="7">
        <f t="shared" si="69"/>
        <v>1.0572357294466168</v>
      </c>
      <c r="M151" s="7">
        <f t="shared" si="70"/>
        <v>529.59428361666676</v>
      </c>
      <c r="N151">
        <f t="shared" si="68"/>
        <v>0.85260350000000007</v>
      </c>
    </row>
    <row r="152" spans="4:14" x14ac:dyDescent="0.45">
      <c r="D152" s="2" t="s">
        <v>129</v>
      </c>
      <c r="E152" s="2" t="s">
        <v>130</v>
      </c>
      <c r="F152" s="1" t="s">
        <v>131</v>
      </c>
      <c r="G152" s="3">
        <f t="shared" si="65"/>
        <v>-3253.4145980000035</v>
      </c>
      <c r="H152" s="3">
        <f t="shared" si="66"/>
        <v>613.77602848333333</v>
      </c>
      <c r="I152" s="3">
        <f t="shared" si="67"/>
        <v>0.72710640248131664</v>
      </c>
      <c r="J152" s="7">
        <f t="shared" si="69"/>
        <v>0.6842886989865633</v>
      </c>
      <c r="K152" s="8" t="s">
        <v>995</v>
      </c>
      <c r="M152" s="7">
        <f t="shared" si="70"/>
        <v>1143.3703121000001</v>
      </c>
      <c r="N152">
        <f t="shared" si="68"/>
        <v>0.41459550000000001</v>
      </c>
    </row>
    <row r="153" spans="4:14" x14ac:dyDescent="0.45">
      <c r="D153" s="2" t="s">
        <v>132</v>
      </c>
      <c r="E153" s="2" t="s">
        <v>133</v>
      </c>
      <c r="F153" s="1" t="s">
        <v>134</v>
      </c>
      <c r="G153" s="3">
        <f t="shared" si="65"/>
        <v>-3252.2893199999967</v>
      </c>
      <c r="H153" s="3">
        <f t="shared" si="66"/>
        <v>72.364582866666566</v>
      </c>
      <c r="I153" s="3">
        <f t="shared" si="67"/>
        <v>0.93300724367898513</v>
      </c>
      <c r="J153" s="7">
        <f t="shared" si="69"/>
        <v>0.82913488371171018</v>
      </c>
      <c r="K153">
        <f>_xlfn.STDEV.P(I148:I168)</f>
        <v>5.1655783076838331E-2</v>
      </c>
      <c r="M153" s="7">
        <f t="shared" si="70"/>
        <v>1215.7348949666666</v>
      </c>
      <c r="N153">
        <f t="shared" si="68"/>
        <v>0.28931649999999998</v>
      </c>
    </row>
    <row r="154" spans="4:14" x14ac:dyDescent="0.45">
      <c r="D154" s="3" t="s">
        <v>152</v>
      </c>
      <c r="E154" s="3" t="s">
        <v>153</v>
      </c>
      <c r="F154" s="1" t="s">
        <v>154</v>
      </c>
      <c r="G154" s="3">
        <f t="shared" si="65"/>
        <v>-3251.3840249999998</v>
      </c>
      <c r="H154" s="3">
        <f t="shared" si="66"/>
        <v>58.68491701666678</v>
      </c>
      <c r="I154" s="3">
        <f t="shared" si="67"/>
        <v>0.92558195122579723</v>
      </c>
      <c r="J154" s="7">
        <f t="shared" si="69"/>
        <v>1.0224092160334779</v>
      </c>
      <c r="M154" s="7">
        <f t="shared" si="70"/>
        <v>1274.4198119833334</v>
      </c>
      <c r="N154">
        <f t="shared" si="68"/>
        <v>0.384021</v>
      </c>
    </row>
    <row r="155" spans="4:14" x14ac:dyDescent="0.45">
      <c r="D155" s="3" t="s">
        <v>175</v>
      </c>
      <c r="E155" s="3" t="s">
        <v>176</v>
      </c>
      <c r="F155" s="1" t="s">
        <v>177</v>
      </c>
      <c r="G155" s="3">
        <f t="shared" si="65"/>
        <v>-3247.7893689999928</v>
      </c>
      <c r="H155" s="3">
        <f t="shared" si="66"/>
        <v>228.82341298333324</v>
      </c>
      <c r="I155" s="3">
        <f t="shared" si="67"/>
        <v>0.94255809398372825</v>
      </c>
      <c r="J155" s="7">
        <f t="shared" si="69"/>
        <v>1.048843721326195</v>
      </c>
      <c r="M155" s="7">
        <f t="shared" si="70"/>
        <v>1503.2432249666667</v>
      </c>
      <c r="N155">
        <f t="shared" si="68"/>
        <v>0.78936549999999994</v>
      </c>
    </row>
    <row r="156" spans="4:14" x14ac:dyDescent="0.45">
      <c r="D156" s="3" t="s">
        <v>196</v>
      </c>
      <c r="E156" s="3" t="s">
        <v>197</v>
      </c>
      <c r="F156" s="1" t="s">
        <v>198</v>
      </c>
      <c r="G156" s="3">
        <f t="shared" si="65"/>
        <v>-3228.8210209999984</v>
      </c>
      <c r="H156" s="3">
        <f t="shared" si="66"/>
        <v>1200.9172009333333</v>
      </c>
      <c r="I156" s="3">
        <f t="shared" si="67"/>
        <v>0.94769304587789394</v>
      </c>
      <c r="J156" s="7">
        <f t="shared" si="69"/>
        <v>0.94927443716686755</v>
      </c>
      <c r="K156" s="6"/>
      <c r="M156" s="7">
        <f t="shared" ref="M156:M161" si="71">M155 + H156</f>
        <v>2704.1604259000001</v>
      </c>
      <c r="N156">
        <f t="shared" si="68"/>
        <v>0.82101950000000001</v>
      </c>
    </row>
    <row r="157" spans="4:14" x14ac:dyDescent="0.45">
      <c r="D157" s="3" t="s">
        <v>227</v>
      </c>
      <c r="E157" s="3" t="s">
        <v>226</v>
      </c>
      <c r="F157" t="s">
        <v>228</v>
      </c>
      <c r="G157" s="3">
        <f t="shared" ref="G157:G165" si="72">(DATEVALUE(LEFT(E157, 10))-DATEVALUE(LEFT(D157, 10))) * 86400 + (TIMEVALUE(MID(E157, 12, 8)) - TIMEVALUE(MID(D157, 12, 8))) * 86400 + (VALUE(RIGHT(E157, 6)) - VALUE(RIGHT(D157, 6))) / 1000000</f>
        <v>-3226.9458169999989</v>
      </c>
      <c r="H157" s="3">
        <f t="shared" ref="H157:H162" si="73">((DATEVALUE(LEFT(D157,10))-DATEVALUE(LEFT(D156,10)))*86400+(TIMEVALUE(MID(D157,12,8))-TIMEVALUE(MID(D156,12,8)))*86400+(VALUE(RIGHT(D157,6))-VALUE(RIGHT(D156,6)))/1000000)/ 60</f>
        <v>116.65207708333335</v>
      </c>
      <c r="I157" s="3">
        <f t="shared" ref="I157:I162" si="74">3600 * (G157-G156) / ((DATEVALUE(LEFT(D157, 10))-DATEVALUE(LEFT(D156, 10))) * 86400 + (TIMEVALUE(MID(D157, 12, 8)) - TIMEVALUE(MID(D156, 12, 8))) * 86400 + (VALUE(RIGHT(D157, 6)) - VALUE(RIGHT(D156, 6))) / 1000000)</f>
        <v>0.96451124414692713</v>
      </c>
      <c r="J157" s="7">
        <f t="shared" ref="J157:J162" si="75">(FLOOR(G157, 1) - FLOOR(G156, 1)) / H157 * 60</f>
        <v>1.0287000711892595</v>
      </c>
      <c r="M157" s="7">
        <f t="shared" si="71"/>
        <v>2820.8125029833336</v>
      </c>
      <c r="N157">
        <f t="shared" ref="N157:N165" si="76">(MID(F157, 2, 7) + MID(F157, 12, 8)) / 2</f>
        <v>0.94581300000000001</v>
      </c>
    </row>
    <row r="158" spans="4:14" x14ac:dyDescent="0.45">
      <c r="D158" s="3" t="s">
        <v>247</v>
      </c>
      <c r="E158" s="3" t="s">
        <v>248</v>
      </c>
      <c r="F158" s="1" t="s">
        <v>267</v>
      </c>
      <c r="G158" s="3">
        <f t="shared" si="72"/>
        <v>-3217.1018830000003</v>
      </c>
      <c r="H158" s="3">
        <f t="shared" si="73"/>
        <v>622.60260203333348</v>
      </c>
      <c r="I158" s="3">
        <f t="shared" si="74"/>
        <v>0.94865655567609652</v>
      </c>
      <c r="J158" s="7">
        <f t="shared" si="75"/>
        <v>0.86732692448832549</v>
      </c>
      <c r="M158" s="7">
        <f t="shared" si="71"/>
        <v>3443.415105016667</v>
      </c>
      <c r="N158">
        <f t="shared" si="76"/>
        <v>0.101883</v>
      </c>
    </row>
    <row r="159" spans="4:14" x14ac:dyDescent="0.45">
      <c r="D159" s="3" t="s">
        <v>286</v>
      </c>
      <c r="E159" s="3" t="s">
        <v>287</v>
      </c>
      <c r="F159" s="1" t="s">
        <v>288</v>
      </c>
      <c r="G159" s="3">
        <f t="shared" si="72"/>
        <v>-3206.2899299999976</v>
      </c>
      <c r="H159" s="3">
        <f t="shared" si="73"/>
        <v>683.58647058333338</v>
      </c>
      <c r="I159" s="3">
        <f t="shared" si="74"/>
        <v>0.9489906660185653</v>
      </c>
      <c r="J159" s="7">
        <f t="shared" si="75"/>
        <v>0.96549599560797916</v>
      </c>
      <c r="M159" s="7">
        <f t="shared" si="71"/>
        <v>4127.0015756000003</v>
      </c>
      <c r="N159">
        <f t="shared" si="76"/>
        <v>0.2899275</v>
      </c>
    </row>
    <row r="160" spans="4:14" x14ac:dyDescent="0.45">
      <c r="D160" s="3" t="s">
        <v>307</v>
      </c>
      <c r="E160" s="3" t="s">
        <v>308</v>
      </c>
      <c r="F160" s="1" t="s">
        <v>309</v>
      </c>
      <c r="G160" s="3">
        <f t="shared" si="72"/>
        <v>-3196.6658229999944</v>
      </c>
      <c r="H160" s="3">
        <f t="shared" si="73"/>
        <v>606.50628040000004</v>
      </c>
      <c r="I160" s="3">
        <f t="shared" si="74"/>
        <v>0.95208646416548581</v>
      </c>
      <c r="J160" s="7">
        <f t="shared" si="75"/>
        <v>0.98927252592387172</v>
      </c>
      <c r="M160" s="7">
        <f t="shared" si="71"/>
        <v>4733.5078560000002</v>
      </c>
      <c r="N160">
        <f t="shared" si="76"/>
        <v>0.66581850000000009</v>
      </c>
    </row>
    <row r="161" spans="4:14" x14ac:dyDescent="0.45">
      <c r="D161" s="3" t="s">
        <v>312</v>
      </c>
      <c r="E161" s="3" t="s">
        <v>313</v>
      </c>
      <c r="F161" s="1" t="s">
        <v>314</v>
      </c>
      <c r="G161" s="5">
        <f t="shared" si="72"/>
        <v>-3184.8842870000021</v>
      </c>
      <c r="H161" s="3">
        <f t="shared" si="73"/>
        <v>746.90363673333331</v>
      </c>
      <c r="I161" s="3">
        <f t="shared" si="74"/>
        <v>0.94643020228312957</v>
      </c>
      <c r="J161" s="7">
        <f t="shared" si="75"/>
        <v>0.96397977542190127</v>
      </c>
      <c r="M161" s="7">
        <f t="shared" si="71"/>
        <v>5480.4114927333339</v>
      </c>
      <c r="N161">
        <f t="shared" si="76"/>
        <v>0.89989249999999998</v>
      </c>
    </row>
    <row r="162" spans="4:14" x14ac:dyDescent="0.45">
      <c r="D162" s="3" t="s">
        <v>359</v>
      </c>
      <c r="E162" s="3" t="s">
        <v>360</v>
      </c>
      <c r="F162" s="1" t="s">
        <v>361</v>
      </c>
      <c r="G162" s="5">
        <f t="shared" si="72"/>
        <v>-3134.5710310000009</v>
      </c>
      <c r="H162" s="3">
        <f t="shared" si="73"/>
        <v>3175.5447626333334</v>
      </c>
      <c r="I162" s="3">
        <f t="shared" si="74"/>
        <v>0.95063857877938651</v>
      </c>
      <c r="J162" s="7">
        <f t="shared" si="75"/>
        <v>0.94471979589172539</v>
      </c>
      <c r="M162" s="7">
        <f>M161 + H162</f>
        <v>8655.9562553666674</v>
      </c>
      <c r="N162">
        <f t="shared" si="76"/>
        <v>0.58675549999999999</v>
      </c>
    </row>
    <row r="163" spans="4:14" x14ac:dyDescent="0.45">
      <c r="D163" s="3" t="s">
        <v>390</v>
      </c>
      <c r="E163" s="3" t="s">
        <v>391</v>
      </c>
      <c r="F163" s="1" t="s">
        <v>392</v>
      </c>
      <c r="G163" s="3">
        <f t="shared" si="72"/>
        <v>-3113.2588689999975</v>
      </c>
      <c r="H163" s="3">
        <f>((DATEVALUE(LEFT(D163,10))-DATEVALUE(LEFT(D162,10)))*86400+(TIMEVALUE(MID(D163,12,8))-TIMEVALUE(MID(D162,12,8)))*86400+(VALUE(RIGHT(D163,6))-VALUE(RIGHT(D162,6)))/1000000)/ 60</f>
        <v>1437.8947992666665</v>
      </c>
      <c r="I163" s="3">
        <f>3600 * (G163-G162) / ((DATEVALUE(LEFT(D163, 10))-DATEVALUE(LEFT(D162, 10))) * 86400 + (TIMEVALUE(MID(D163, 12, 8)) - TIMEVALUE(MID(D162, 12, 8))) * 86400 + (VALUE(RIGHT(D163, 6)) - VALUE(RIGHT(D162, 6))) / 1000000)</f>
        <v>0.88930686768764988</v>
      </c>
      <c r="J163" s="7">
        <f>(FLOOR(G163, 1) - FLOOR(G162, 1)) / H163 * 60</f>
        <v>0.8762810746951768</v>
      </c>
      <c r="M163" s="7">
        <f>M162 + H163</f>
        <v>10093.851054633335</v>
      </c>
      <c r="N163">
        <f t="shared" si="76"/>
        <v>0.25886549999999997</v>
      </c>
    </row>
    <row r="164" spans="4:14" x14ac:dyDescent="0.45">
      <c r="D164" s="3" t="s">
        <v>417</v>
      </c>
      <c r="E164" s="3" t="s">
        <v>418</v>
      </c>
      <c r="F164" s="1" t="s">
        <v>419</v>
      </c>
      <c r="G164" s="3">
        <f t="shared" si="72"/>
        <v>-3062.383886999999</v>
      </c>
      <c r="H164" s="3">
        <f>((DATEVALUE(LEFT(D164,10))-DATEVALUE(LEFT(D163,10)))*86400+(TIMEVALUE(MID(D164,12,8))-TIMEVALUE(MID(D163,12,8)))*86400+(VALUE(RIGHT(D164,6))-VALUE(RIGHT(D163,6)))/1000000)/ 60</f>
        <v>3211.8187445333333</v>
      </c>
      <c r="I164" s="3">
        <f>3600 * (G164-G163) / ((DATEVALUE(LEFT(D164, 10))-DATEVALUE(LEFT(D163, 10))) * 86400 + (TIMEVALUE(MID(D164, 12, 8)) - TIMEVALUE(MID(D163, 12, 8))) * 86400 + (VALUE(RIGHT(D164, 6)) - VALUE(RIGHT(D163, 6))) / 1000000)</f>
        <v>0.95039576102960477</v>
      </c>
      <c r="J164" s="7">
        <f>(FLOOR(G164, 1) - FLOOR(G163, 1)) / H164 * 60</f>
        <v>0.95273122283387379</v>
      </c>
      <c r="M164" s="7">
        <f>M163 + H164</f>
        <v>13305.669799166668</v>
      </c>
      <c r="N164">
        <f t="shared" si="76"/>
        <v>0.39941850000000001</v>
      </c>
    </row>
    <row r="165" spans="4:14" x14ac:dyDescent="0.45">
      <c r="D165" s="3" t="s">
        <v>429</v>
      </c>
      <c r="E165" s="3" t="s">
        <v>430</v>
      </c>
      <c r="F165" s="1" t="s">
        <v>431</v>
      </c>
      <c r="G165" s="3">
        <f t="shared" si="72"/>
        <v>-3059.9149069999999</v>
      </c>
      <c r="H165" s="3">
        <f>((DATEVALUE(LEFT(D165,10))-DATEVALUE(LEFT(D164,10)))*86400+(TIMEVALUE(MID(D165,12,8))-TIMEVALUE(MID(D164,12,8)))*86400+(VALUE(RIGHT(D165,6))-VALUE(RIGHT(D164,6)))/1000000)/ 60</f>
        <v>157.89218655000002</v>
      </c>
      <c r="I165" s="3">
        <f>3600 * (G165-G164) / ((DATEVALUE(LEFT(D165, 10))-DATEVALUE(LEFT(D164, 10))) * 86400 + (TIMEVALUE(MID(D165, 12, 8)) - TIMEVALUE(MID(D164, 12, 8))) * 86400 + (VALUE(RIGHT(D165, 6)) - VALUE(RIGHT(D164, 6))) / 1000000)</f>
        <v>0.9382275541104127</v>
      </c>
      <c r="J165" s="7">
        <f>(FLOOR(G165, 1) - FLOOR(G164, 1)) / H165 * 60</f>
        <v>1.1400184134064104</v>
      </c>
      <c r="M165" s="7">
        <f>M164 + H165</f>
        <v>13463.561985716668</v>
      </c>
      <c r="N165">
        <f t="shared" si="76"/>
        <v>0.914906</v>
      </c>
    </row>
    <row r="166" spans="4:14" x14ac:dyDescent="0.45">
      <c r="D166" s="3"/>
      <c r="E166" s="3"/>
      <c r="J166" s="6"/>
      <c r="M166" s="6"/>
    </row>
    <row r="167" spans="4:14" x14ac:dyDescent="0.45">
      <c r="D167" s="3"/>
      <c r="E167" s="3"/>
      <c r="J167" s="6"/>
      <c r="M167" s="6"/>
    </row>
    <row r="168" spans="4:14" x14ac:dyDescent="0.45">
      <c r="D168" s="3"/>
      <c r="E168" s="3"/>
      <c r="J168" s="6"/>
      <c r="M168" s="6"/>
    </row>
    <row r="169" spans="4:14" x14ac:dyDescent="0.45">
      <c r="D169" s="13" t="str">
        <f>("№"&amp;B2&amp;" - "&amp;A2)</f>
        <v>№1 - Nothing</v>
      </c>
      <c r="E169" s="15"/>
      <c r="F169" s="13"/>
      <c r="G169" s="13"/>
      <c r="H169" s="13"/>
      <c r="I169" s="13"/>
      <c r="J169" s="14"/>
      <c r="K169" s="13"/>
      <c r="L169" s="13"/>
      <c r="M169" s="14"/>
      <c r="N169" s="13"/>
    </row>
    <row r="170" spans="4:14" x14ac:dyDescent="0.45">
      <c r="D170" s="12" t="s">
        <v>8</v>
      </c>
      <c r="E170" s="12" t="s">
        <v>9</v>
      </c>
      <c r="F170" s="12" t="s">
        <v>10</v>
      </c>
      <c r="G170" s="12" t="s">
        <v>346</v>
      </c>
      <c r="H170" s="12" t="s">
        <v>222</v>
      </c>
      <c r="I170" s="12" t="s">
        <v>223</v>
      </c>
      <c r="J170" s="12" t="s">
        <v>224</v>
      </c>
      <c r="K170" s="12" t="s">
        <v>225</v>
      </c>
      <c r="L170" s="12" t="s">
        <v>345</v>
      </c>
      <c r="M170" s="12" t="s">
        <v>344</v>
      </c>
      <c r="N170" s="12"/>
    </row>
    <row r="171" spans="4:14" x14ac:dyDescent="0.45">
      <c r="D171" s="3" t="s">
        <v>445</v>
      </c>
      <c r="E171" s="3" t="s">
        <v>444</v>
      </c>
      <c r="F171" s="3" t="s">
        <v>446</v>
      </c>
      <c r="G171" s="3">
        <f>(DATEVALUE(LEFT(E171, 10))-DATEVALUE(LEFT(D171, 10))) * 86400 + (TIMEVALUE(MID(E171, 12, 8)) - TIMEVALUE(MID(D171, 12, 8))) * 86400 + (VALUE(RIGHT(E171, 6)) - VALUE(RIGHT(D171, 6))) / 1000000</f>
        <v>531.05356500000005</v>
      </c>
      <c r="K171" s="3">
        <f>((MAX(G171:G193)-MIN(G171:G193))/SUM(H172:H193)) * 60</f>
        <v>0.83394773800286059</v>
      </c>
      <c r="L171" s="3">
        <f>((FLOOR(MAX(G171:G193), 1)-FLOOR(MIN(G171:G193), 1))/SUM(H172:H193)) * 60</f>
        <v>0.81690670114745945</v>
      </c>
      <c r="M171" s="6">
        <v>0</v>
      </c>
    </row>
    <row r="172" spans="4:14" x14ac:dyDescent="0.45">
      <c r="D172" s="3" t="s">
        <v>477</v>
      </c>
      <c r="E172" s="3" t="s">
        <v>478</v>
      </c>
      <c r="F172" s="3" t="s">
        <v>479</v>
      </c>
      <c r="G172" s="3">
        <f>(DATEVALUE(LEFT(E172, 10))-DATEVALUE(LEFT(D172, 10))) * 86400 + (TIMEVALUE(MID(E172, 12, 8)) - TIMEVALUE(MID(D172, 12, 8))) * 86400 + (VALUE(RIGHT(E172, 6)) - VALUE(RIGHT(D172, 6))) / 1000000</f>
        <v>532.30379000000084</v>
      </c>
      <c r="H172" s="3">
        <f>((DATEVALUE(LEFT(D172,10))-DATEVALUE(LEFT(D171,10)))*86400+(TIMEVALUE(MID(D172,12,8))-TIMEVALUE(MID(D171,12,8)))*86400+(VALUE(RIGHT(D172,6))-VALUE(RIGHT(D171,6)))/1000000)/ 60</f>
        <v>87.912490833333337</v>
      </c>
      <c r="I172" s="3">
        <f>3600 * (G172-G171) / ((DATEVALUE(LEFT(D172, 10))-DATEVALUE(LEFT(D171, 10))) * 86400 + (TIMEVALUE(MID(D172, 12, 8)) - TIMEVALUE(MID(D171, 12, 8))) * 86400 + (VALUE(RIGHT(D172, 6)) - VALUE(RIGHT(D171, 6))) / 1000000)</f>
        <v>0.85327465174727224</v>
      </c>
      <c r="J172" s="7">
        <f>(FLOOR(G172, 1) - FLOOR(G171, 1)) / H172 * 60</f>
        <v>0.68249687196043018</v>
      </c>
      <c r="M172" s="7">
        <f>M171 + H172</f>
        <v>87.912490833333337</v>
      </c>
    </row>
    <row r="173" spans="4:14" x14ac:dyDescent="0.45">
      <c r="D173" s="3" t="s">
        <v>480</v>
      </c>
      <c r="E173" s="3" t="s">
        <v>481</v>
      </c>
      <c r="F173" t="s">
        <v>482</v>
      </c>
      <c r="G173" s="3">
        <f>(DATEVALUE(LEFT(E173, 10))-DATEVALUE(LEFT(D173, 10))) * 86400 + (TIMEVALUE(MID(E173, 12, 8)) - TIMEVALUE(MID(D173, 12, 8))) * 86400 + (VALUE(RIGHT(E173, 6)) - VALUE(RIGHT(D173, 6))) / 1000000</f>
        <v>540.24130899999807</v>
      </c>
      <c r="H173" s="3">
        <f>((DATEVALUE(LEFT(D173,10))-DATEVALUE(LEFT(D172,10)))*86400+(TIMEVALUE(MID(D173,12,8))-TIMEVALUE(MID(D172,12,8)))*86400+(VALUE(RIGHT(D173,6))-VALUE(RIGHT(D172,6)))/1000000)/ 60</f>
        <v>573.11770911666667</v>
      </c>
      <c r="I173" s="3">
        <f>3600 * (G173-G172) / ((DATEVALUE(LEFT(D173, 10))-DATEVALUE(LEFT(D172, 10))) * 86400 + (TIMEVALUE(MID(D173, 12, 8)) - TIMEVALUE(MID(D172, 12, 8))) * 86400 + (VALUE(RIGHT(D173, 6)) - VALUE(RIGHT(D172, 6))) / 1000000)</f>
        <v>0.83098311642449252</v>
      </c>
      <c r="J173" s="7">
        <f>(FLOOR(G173, 1) - FLOOR(G172, 1)) / H173 * 60</f>
        <v>0.83752428578731786</v>
      </c>
      <c r="K173" s="8" t="s">
        <v>995</v>
      </c>
      <c r="M173" s="7">
        <f>M172 + H173</f>
        <v>661.03019995</v>
      </c>
    </row>
    <row r="174" spans="4:14" x14ac:dyDescent="0.45">
      <c r="D174" s="3"/>
      <c r="E174" s="3"/>
      <c r="G174" s="3"/>
      <c r="H174" s="3"/>
      <c r="I174" s="3"/>
      <c r="J174" s="7"/>
      <c r="K174">
        <f>_xlfn.STDEV.P(I169:I189)</f>
        <v>1.114576766138986E-2</v>
      </c>
      <c r="M174" s="7"/>
    </row>
    <row r="175" spans="4:14" x14ac:dyDescent="0.45">
      <c r="D175" s="3"/>
      <c r="E175" s="3"/>
      <c r="J175" s="6"/>
      <c r="M175" s="7"/>
    </row>
    <row r="176" spans="4:14" x14ac:dyDescent="0.45">
      <c r="D176" s="3"/>
      <c r="E176" s="3"/>
      <c r="J176" s="6"/>
      <c r="M176" s="7"/>
    </row>
    <row r="177" spans="4:13" x14ac:dyDescent="0.45">
      <c r="D177" s="3"/>
      <c r="E177" s="3"/>
      <c r="J177" s="6"/>
      <c r="M177" s="7"/>
    </row>
    <row r="178" spans="4:13" x14ac:dyDescent="0.45">
      <c r="D178" s="3"/>
      <c r="E178" s="3"/>
      <c r="J178" s="6"/>
      <c r="M178" s="7"/>
    </row>
    <row r="179" spans="4:13" x14ac:dyDescent="0.45">
      <c r="D179" s="3"/>
      <c r="E179" s="3"/>
      <c r="J179" s="6"/>
      <c r="M179" s="7"/>
    </row>
    <row r="180" spans="4:13" x14ac:dyDescent="0.45">
      <c r="D180" s="3"/>
      <c r="E180" s="3"/>
      <c r="J180" s="6"/>
      <c r="M180" s="7"/>
    </row>
    <row r="181" spans="4:13" x14ac:dyDescent="0.45">
      <c r="D181" s="3"/>
      <c r="E181" s="3"/>
      <c r="J181" s="6"/>
      <c r="M181" s="7"/>
    </row>
    <row r="182" spans="4:13" x14ac:dyDescent="0.45">
      <c r="J182" s="6"/>
      <c r="M182" s="7"/>
    </row>
    <row r="183" spans="4:13" x14ac:dyDescent="0.45">
      <c r="J183" s="6"/>
      <c r="M183" s="7"/>
    </row>
    <row r="184" spans="4:13" x14ac:dyDescent="0.45">
      <c r="J184" s="6"/>
      <c r="M184" s="7"/>
    </row>
    <row r="185" spans="4:13" x14ac:dyDescent="0.45">
      <c r="J185" s="6"/>
      <c r="M185" s="7"/>
    </row>
    <row r="186" spans="4:13" x14ac:dyDescent="0.45">
      <c r="J186" s="6"/>
      <c r="M186" s="7"/>
    </row>
    <row r="187" spans="4:13" x14ac:dyDescent="0.45">
      <c r="J187" s="6"/>
      <c r="M187" s="7"/>
    </row>
    <row r="188" spans="4:13" x14ac:dyDescent="0.45">
      <c r="J188" s="6"/>
      <c r="M188" s="7"/>
    </row>
    <row r="189" spans="4:13" x14ac:dyDescent="0.45">
      <c r="J189" s="6"/>
      <c r="M189" s="7"/>
    </row>
    <row r="190" spans="4:13" x14ac:dyDescent="0.45">
      <c r="J190" s="6"/>
      <c r="M190" s="6"/>
    </row>
    <row r="191" spans="4:13" x14ac:dyDescent="0.45">
      <c r="J191" s="6"/>
      <c r="M191" s="6"/>
    </row>
    <row r="192" spans="4:13" x14ac:dyDescent="0.45">
      <c r="J192" s="6"/>
      <c r="M192" s="6"/>
    </row>
    <row r="193" spans="10:13" x14ac:dyDescent="0.45">
      <c r="J193" s="6"/>
      <c r="M193" s="6"/>
    </row>
    <row r="194" spans="10:13" x14ac:dyDescent="0.45">
      <c r="J194" s="6"/>
      <c r="M194" s="6"/>
    </row>
    <row r="195" spans="10:13" x14ac:dyDescent="0.45">
      <c r="J195" s="6"/>
      <c r="M195" s="6"/>
    </row>
    <row r="196" spans="10:13" x14ac:dyDescent="0.45">
      <c r="J196" s="6"/>
      <c r="M196" s="6"/>
    </row>
    <row r="197" spans="10:13" x14ac:dyDescent="0.45">
      <c r="J197" s="6"/>
      <c r="M197" s="6"/>
    </row>
    <row r="198" spans="10:13" x14ac:dyDescent="0.45">
      <c r="J198" s="6"/>
      <c r="M198" s="6"/>
    </row>
    <row r="199" spans="10:13" x14ac:dyDescent="0.45">
      <c r="J199" s="6"/>
      <c r="M199" s="6"/>
    </row>
    <row r="200" spans="10:13" x14ac:dyDescent="0.45">
      <c r="J200" s="6"/>
      <c r="M200" s="6"/>
    </row>
    <row r="201" spans="10:13" x14ac:dyDescent="0.45">
      <c r="J201" s="6"/>
      <c r="M201" s="6"/>
    </row>
    <row r="202" spans="10:13" x14ac:dyDescent="0.45">
      <c r="J202" s="6"/>
      <c r="M202" s="6"/>
    </row>
    <row r="203" spans="10:13" x14ac:dyDescent="0.45">
      <c r="J203" s="6"/>
      <c r="M203" s="6"/>
    </row>
    <row r="204" spans="10:13" x14ac:dyDescent="0.45">
      <c r="J204" s="6"/>
      <c r="M204" s="6"/>
    </row>
    <row r="205" spans="10:13" x14ac:dyDescent="0.45">
      <c r="J205" s="6"/>
    </row>
    <row r="206" spans="10:13" x14ac:dyDescent="0.45">
      <c r="J206" s="6"/>
    </row>
    <row r="207" spans="10:13" x14ac:dyDescent="0.45">
      <c r="J207" s="6"/>
    </row>
    <row r="208" spans="10:13" x14ac:dyDescent="0.45">
      <c r="J208" s="6"/>
    </row>
    <row r="209" spans="10:10" x14ac:dyDescent="0.45">
      <c r="J209" s="6"/>
    </row>
    <row r="210" spans="10:10" x14ac:dyDescent="0.45">
      <c r="J210" s="6"/>
    </row>
    <row r="211" spans="10:10" x14ac:dyDescent="0.45">
      <c r="J211" s="6"/>
    </row>
    <row r="212" spans="10:10" x14ac:dyDescent="0.45">
      <c r="J212" s="6"/>
    </row>
    <row r="213" spans="10:10" x14ac:dyDescent="0.45">
      <c r="J213" s="6"/>
    </row>
    <row r="214" spans="10:10" x14ac:dyDescent="0.45">
      <c r="J214" s="6"/>
    </row>
    <row r="215" spans="10:10" x14ac:dyDescent="0.45">
      <c r="J215" s="6"/>
    </row>
    <row r="216" spans="10:10" x14ac:dyDescent="0.45">
      <c r="J216" s="6"/>
    </row>
    <row r="217" spans="10:10" x14ac:dyDescent="0.45">
      <c r="J217" s="6"/>
    </row>
    <row r="218" spans="10:10" x14ac:dyDescent="0.45">
      <c r="J218" s="6"/>
    </row>
    <row r="219" spans="10:10" x14ac:dyDescent="0.45">
      <c r="J219" s="6"/>
    </row>
    <row r="220" spans="10:10" x14ac:dyDescent="0.45">
      <c r="J220" s="6"/>
    </row>
    <row r="221" spans="10:10" x14ac:dyDescent="0.45">
      <c r="J221" s="6"/>
    </row>
    <row r="222" spans="10:10" x14ac:dyDescent="0.45">
      <c r="J222" s="6"/>
    </row>
    <row r="223" spans="10:10" x14ac:dyDescent="0.45">
      <c r="J223" s="6"/>
    </row>
    <row r="224" spans="10:10" x14ac:dyDescent="0.45">
      <c r="J224" s="6"/>
    </row>
    <row r="225" spans="10:10" x14ac:dyDescent="0.45">
      <c r="J225" s="6"/>
    </row>
    <row r="226" spans="10:10" x14ac:dyDescent="0.45">
      <c r="J226" s="6"/>
    </row>
    <row r="227" spans="10:10" x14ac:dyDescent="0.45">
      <c r="J227" s="6"/>
    </row>
    <row r="228" spans="10:10" x14ac:dyDescent="0.45">
      <c r="J228" s="6"/>
    </row>
    <row r="229" spans="10:10" x14ac:dyDescent="0.45">
      <c r="J229" s="6"/>
    </row>
    <row r="230" spans="10:10" x14ac:dyDescent="0.45">
      <c r="J230" s="6"/>
    </row>
    <row r="231" spans="10:10" x14ac:dyDescent="0.45">
      <c r="J231" s="6"/>
    </row>
    <row r="232" spans="10:10" x14ac:dyDescent="0.45">
      <c r="J232" s="6"/>
    </row>
    <row r="233" spans="10:10" x14ac:dyDescent="0.45">
      <c r="J233" s="6"/>
    </row>
    <row r="234" spans="10:10" x14ac:dyDescent="0.45">
      <c r="J234" s="6"/>
    </row>
    <row r="235" spans="10:10" x14ac:dyDescent="0.45">
      <c r="J235" s="6"/>
    </row>
    <row r="236" spans="10:10" x14ac:dyDescent="0.45">
      <c r="J236" s="6"/>
    </row>
    <row r="237" spans="10:10" x14ac:dyDescent="0.45">
      <c r="J237" s="6"/>
    </row>
    <row r="238" spans="10:10" x14ac:dyDescent="0.45">
      <c r="J238" s="6"/>
    </row>
    <row r="239" spans="10:10" x14ac:dyDescent="0.45">
      <c r="J239" s="6"/>
    </row>
    <row r="240" spans="10:10" x14ac:dyDescent="0.45">
      <c r="J240" s="6"/>
    </row>
    <row r="241" spans="10:10" x14ac:dyDescent="0.45">
      <c r="J241" s="6"/>
    </row>
    <row r="242" spans="10:10" x14ac:dyDescent="0.45">
      <c r="J242" s="6"/>
    </row>
    <row r="243" spans="10:10" x14ac:dyDescent="0.45">
      <c r="J243" s="6"/>
    </row>
    <row r="244" spans="10:10" x14ac:dyDescent="0.45">
      <c r="J244" s="6"/>
    </row>
    <row r="245" spans="10:10" x14ac:dyDescent="0.45">
      <c r="J245" s="6"/>
    </row>
    <row r="246" spans="10:10" x14ac:dyDescent="0.45">
      <c r="J246" s="6"/>
    </row>
    <row r="247" spans="10:10" x14ac:dyDescent="0.45">
      <c r="J247" s="6"/>
    </row>
    <row r="248" spans="10:10" x14ac:dyDescent="0.45">
      <c r="J248" s="6"/>
    </row>
    <row r="249" spans="10:10" x14ac:dyDescent="0.45">
      <c r="J249" s="6"/>
    </row>
    <row r="250" spans="10:10" x14ac:dyDescent="0.45">
      <c r="J250" s="6"/>
    </row>
    <row r="251" spans="10:10" x14ac:dyDescent="0.45">
      <c r="J251" s="6"/>
    </row>
    <row r="252" spans="10:10" x14ac:dyDescent="0.45">
      <c r="J252" s="6"/>
    </row>
    <row r="253" spans="10:10" x14ac:dyDescent="0.45">
      <c r="J253" s="6"/>
    </row>
    <row r="254" spans="10:10" x14ac:dyDescent="0.45">
      <c r="J254" s="6"/>
    </row>
    <row r="255" spans="10:10" x14ac:dyDescent="0.45">
      <c r="J255" s="6"/>
    </row>
    <row r="256" spans="10:10" x14ac:dyDescent="0.45">
      <c r="J256" s="6"/>
    </row>
    <row r="257" spans="10:10" x14ac:dyDescent="0.45">
      <c r="J257" s="6"/>
    </row>
    <row r="258" spans="10:10" x14ac:dyDescent="0.45">
      <c r="J258" s="6"/>
    </row>
    <row r="259" spans="10:10" x14ac:dyDescent="0.45">
      <c r="J259" s="6"/>
    </row>
    <row r="260" spans="10:10" x14ac:dyDescent="0.45">
      <c r="J260" s="6"/>
    </row>
    <row r="261" spans="10:10" x14ac:dyDescent="0.45">
      <c r="J261" s="6"/>
    </row>
    <row r="262" spans="10:10" x14ac:dyDescent="0.45">
      <c r="J262" s="6"/>
    </row>
    <row r="263" spans="10:10" x14ac:dyDescent="0.45">
      <c r="J263" s="6"/>
    </row>
    <row r="264" spans="10:10" x14ac:dyDescent="0.45">
      <c r="J264" s="6"/>
    </row>
    <row r="265" spans="10:10" x14ac:dyDescent="0.45">
      <c r="J265" s="6"/>
    </row>
    <row r="266" spans="10:10" x14ac:dyDescent="0.45">
      <c r="J266" s="6"/>
    </row>
    <row r="267" spans="10:10" x14ac:dyDescent="0.45">
      <c r="J267" s="6"/>
    </row>
    <row r="268" spans="10:10" x14ac:dyDescent="0.45">
      <c r="J268" s="6"/>
    </row>
    <row r="269" spans="10:10" x14ac:dyDescent="0.45">
      <c r="J269" s="6"/>
    </row>
    <row r="270" spans="10:10" x14ac:dyDescent="0.45">
      <c r="J270" s="6"/>
    </row>
    <row r="271" spans="10:10" x14ac:dyDescent="0.45">
      <c r="J271" s="6"/>
    </row>
    <row r="272" spans="10:10" x14ac:dyDescent="0.45">
      <c r="J272" s="6"/>
    </row>
    <row r="273" spans="10:10" x14ac:dyDescent="0.45">
      <c r="J273" s="6"/>
    </row>
    <row r="274" spans="10:10" x14ac:dyDescent="0.45">
      <c r="J274" s="6"/>
    </row>
    <row r="275" spans="10:10" x14ac:dyDescent="0.45">
      <c r="J275" s="6"/>
    </row>
    <row r="276" spans="10:10" x14ac:dyDescent="0.45">
      <c r="J276" s="6"/>
    </row>
    <row r="277" spans="10:10" x14ac:dyDescent="0.45">
      <c r="J277" s="6"/>
    </row>
    <row r="278" spans="10:10" x14ac:dyDescent="0.45">
      <c r="J278" s="6"/>
    </row>
    <row r="279" spans="10:10" x14ac:dyDescent="0.45">
      <c r="J279" s="6"/>
    </row>
    <row r="280" spans="10:10" x14ac:dyDescent="0.45">
      <c r="J280" s="6"/>
    </row>
    <row r="281" spans="10:10" x14ac:dyDescent="0.45">
      <c r="J281" s="6"/>
    </row>
    <row r="282" spans="10:10" x14ac:dyDescent="0.45">
      <c r="J282" s="6"/>
    </row>
    <row r="283" spans="10:10" x14ac:dyDescent="0.45">
      <c r="J283" s="6"/>
    </row>
    <row r="284" spans="10:10" x14ac:dyDescent="0.45">
      <c r="J284" s="6"/>
    </row>
    <row r="285" spans="10:10" x14ac:dyDescent="0.45">
      <c r="J285" s="6"/>
    </row>
    <row r="286" spans="10:10" x14ac:dyDescent="0.45">
      <c r="J286" s="6"/>
    </row>
    <row r="287" spans="10:10" x14ac:dyDescent="0.45">
      <c r="J287" s="6"/>
    </row>
    <row r="288" spans="10:10" x14ac:dyDescent="0.45">
      <c r="J288" s="6"/>
    </row>
    <row r="289" spans="10:10" x14ac:dyDescent="0.45">
      <c r="J289" s="6"/>
    </row>
    <row r="290" spans="10:10" x14ac:dyDescent="0.45">
      <c r="J290" s="6"/>
    </row>
    <row r="291" spans="10:10" x14ac:dyDescent="0.45">
      <c r="J291" s="6"/>
    </row>
    <row r="292" spans="10:10" x14ac:dyDescent="0.45">
      <c r="J292" s="6"/>
    </row>
    <row r="293" spans="10:10" x14ac:dyDescent="0.45">
      <c r="J293" s="6"/>
    </row>
    <row r="294" spans="10:10" x14ac:dyDescent="0.45">
      <c r="J294" s="6"/>
    </row>
    <row r="295" spans="10:10" x14ac:dyDescent="0.45">
      <c r="J295" s="6"/>
    </row>
    <row r="296" spans="10:10" x14ac:dyDescent="0.45">
      <c r="J296" s="6"/>
    </row>
    <row r="297" spans="10:10" x14ac:dyDescent="0.45">
      <c r="J297" s="6"/>
    </row>
    <row r="298" spans="10:10" x14ac:dyDescent="0.45">
      <c r="J298" s="6"/>
    </row>
    <row r="299" spans="10:10" x14ac:dyDescent="0.45">
      <c r="J299" s="6"/>
    </row>
    <row r="300" spans="10:10" x14ac:dyDescent="0.45">
      <c r="J300" s="6"/>
    </row>
    <row r="301" spans="10:10" x14ac:dyDescent="0.45">
      <c r="J301" s="6"/>
    </row>
    <row r="302" spans="10:10" x14ac:dyDescent="0.45">
      <c r="J302" s="6"/>
    </row>
    <row r="303" spans="10:10" x14ac:dyDescent="0.45">
      <c r="J303" s="6"/>
    </row>
    <row r="304" spans="10:10" x14ac:dyDescent="0.45">
      <c r="J304" s="6"/>
    </row>
    <row r="305" spans="10:10" x14ac:dyDescent="0.45">
      <c r="J305" s="6"/>
    </row>
    <row r="306" spans="10:10" x14ac:dyDescent="0.45">
      <c r="J306" s="6"/>
    </row>
    <row r="307" spans="10:10" x14ac:dyDescent="0.45">
      <c r="J307" s="6"/>
    </row>
    <row r="308" spans="10:10" x14ac:dyDescent="0.45">
      <c r="J308" s="6"/>
    </row>
    <row r="309" spans="10:10" x14ac:dyDescent="0.45">
      <c r="J309" s="6"/>
    </row>
    <row r="310" spans="10:10" x14ac:dyDescent="0.45">
      <c r="J310" s="6"/>
    </row>
    <row r="311" spans="10:10" x14ac:dyDescent="0.45">
      <c r="J311" s="6"/>
    </row>
    <row r="312" spans="10:10" x14ac:dyDescent="0.45">
      <c r="J312" s="6"/>
    </row>
    <row r="313" spans="10:10" x14ac:dyDescent="0.45">
      <c r="J313" s="6"/>
    </row>
    <row r="314" spans="10:10" x14ac:dyDescent="0.45">
      <c r="J314" s="6"/>
    </row>
    <row r="315" spans="10:10" x14ac:dyDescent="0.45">
      <c r="J315" s="6"/>
    </row>
    <row r="316" spans="10:10" x14ac:dyDescent="0.45">
      <c r="J316" s="6"/>
    </row>
    <row r="317" spans="10:10" x14ac:dyDescent="0.45">
      <c r="J317" s="6"/>
    </row>
    <row r="318" spans="10:10" x14ac:dyDescent="0.45">
      <c r="J318" s="6"/>
    </row>
    <row r="319" spans="10:10" x14ac:dyDescent="0.45">
      <c r="J319" s="6"/>
    </row>
    <row r="320" spans="10:10" x14ac:dyDescent="0.45">
      <c r="J320" s="6"/>
    </row>
    <row r="321" spans="10:10" x14ac:dyDescent="0.45">
      <c r="J321" s="6"/>
    </row>
    <row r="322" spans="10:10" x14ac:dyDescent="0.45">
      <c r="J322" s="6"/>
    </row>
    <row r="323" spans="10:10" x14ac:dyDescent="0.45">
      <c r="J323" s="6"/>
    </row>
    <row r="324" spans="10:10" x14ac:dyDescent="0.45">
      <c r="J324" s="6"/>
    </row>
    <row r="325" spans="10:10" x14ac:dyDescent="0.45">
      <c r="J325" s="6"/>
    </row>
    <row r="326" spans="10:10" x14ac:dyDescent="0.45">
      <c r="J326" s="6"/>
    </row>
    <row r="327" spans="10:10" x14ac:dyDescent="0.45">
      <c r="J327" s="6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856-3E44-4F96-9132-24702833D2E8}">
  <dimension ref="A1:AE225"/>
  <sheetViews>
    <sheetView zoomScale="94" zoomScaleNormal="115" workbookViewId="0">
      <selection activeCell="A27" sqref="A27"/>
    </sheetView>
  </sheetViews>
  <sheetFormatPr defaultRowHeight="14.25" x14ac:dyDescent="0.45"/>
  <cols>
    <col min="1" max="1" width="22.53125" customWidth="1"/>
    <col min="2" max="2" width="16.46484375" customWidth="1"/>
    <col min="4" max="4" width="24.59765625" customWidth="1"/>
    <col min="5" max="5" width="24.33203125" customWidth="1"/>
    <col min="6" max="6" width="18.06640625" customWidth="1"/>
    <col min="7" max="7" width="10.6640625" customWidth="1"/>
    <col min="8" max="8" width="17.73046875" customWidth="1"/>
    <col min="9" max="9" width="22.6640625" customWidth="1"/>
    <col min="10" max="10" width="14.9296875" customWidth="1"/>
    <col min="11" max="11" width="18.6640625" customWidth="1"/>
    <col min="12" max="12" width="15.59765625" customWidth="1"/>
    <col min="13" max="13" width="20.46484375" customWidth="1"/>
    <col min="14" max="14" width="10.796875" customWidth="1"/>
    <col min="16" max="16" width="13.3984375" customWidth="1"/>
    <col min="22" max="22" width="9.265625" bestFit="1" customWidth="1"/>
    <col min="24" max="24" width="21.86328125" customWidth="1"/>
    <col min="25" max="25" width="14.33203125" customWidth="1"/>
    <col min="26" max="26" width="13.53125" customWidth="1"/>
    <col min="27" max="27" width="12.06640625" customWidth="1"/>
    <col min="28" max="28" width="11.796875" customWidth="1"/>
    <col min="29" max="29" width="18.6640625" customWidth="1"/>
    <col min="30" max="30" width="19.06640625" customWidth="1"/>
    <col min="31" max="31" width="20.265625" customWidth="1"/>
  </cols>
  <sheetData>
    <row r="1" spans="1:31" x14ac:dyDescent="0.45">
      <c r="A1" s="9" t="s">
        <v>0</v>
      </c>
      <c r="B1" s="9" t="s">
        <v>1</v>
      </c>
      <c r="C1" s="1"/>
      <c r="D1" s="12" t="str">
        <f>("№"&amp;B3&amp;" - "&amp;A3)</f>
        <v>№2 - Blue tape</v>
      </c>
      <c r="E1" s="12"/>
      <c r="F1" s="12"/>
      <c r="G1" s="12"/>
      <c r="H1" s="13"/>
      <c r="I1" s="13"/>
      <c r="J1" s="13"/>
      <c r="K1" s="13"/>
      <c r="L1" s="13"/>
      <c r="M1" s="13"/>
      <c r="N1" s="13"/>
    </row>
    <row r="2" spans="1:31" x14ac:dyDescent="0.45">
      <c r="A2" s="9" t="s">
        <v>13</v>
      </c>
      <c r="B2" s="9">
        <v>1</v>
      </c>
      <c r="C2" s="1"/>
      <c r="D2" s="12" t="s">
        <v>8</v>
      </c>
      <c r="E2" s="12" t="s">
        <v>9</v>
      </c>
      <c r="F2" s="12" t="s">
        <v>10</v>
      </c>
      <c r="G2" s="12" t="s">
        <v>346</v>
      </c>
      <c r="H2" s="12" t="s">
        <v>222</v>
      </c>
      <c r="I2" s="12" t="s">
        <v>223</v>
      </c>
      <c r="J2" s="12" t="s">
        <v>224</v>
      </c>
      <c r="K2" s="12" t="s">
        <v>225</v>
      </c>
      <c r="L2" s="12" t="s">
        <v>345</v>
      </c>
      <c r="M2" s="12" t="s">
        <v>344</v>
      </c>
      <c r="N2" s="12" t="s">
        <v>10</v>
      </c>
      <c r="X2" s="18" t="s">
        <v>338</v>
      </c>
      <c r="Y2" s="18" t="s">
        <v>513</v>
      </c>
      <c r="Z2" s="18" t="s">
        <v>514</v>
      </c>
      <c r="AA2" s="18" t="s">
        <v>516</v>
      </c>
      <c r="AB2" s="18" t="s">
        <v>515</v>
      </c>
      <c r="AC2" s="18" t="s">
        <v>569</v>
      </c>
      <c r="AD2" s="18" t="s">
        <v>570</v>
      </c>
      <c r="AE2" s="18" t="s">
        <v>571</v>
      </c>
    </row>
    <row r="3" spans="1:31" x14ac:dyDescent="0.45">
      <c r="A3" s="9" t="s">
        <v>14</v>
      </c>
      <c r="B3" s="9">
        <v>2</v>
      </c>
      <c r="C3" s="1"/>
      <c r="D3" s="3" t="s">
        <v>471</v>
      </c>
      <c r="E3" s="3" t="s">
        <v>472</v>
      </c>
      <c r="F3" s="3" t="s">
        <v>473</v>
      </c>
      <c r="G3" s="4">
        <f t="shared" ref="G3:G17" si="0">(DATEVALUE(LEFT(E3, 10))-DATEVALUE(LEFT(D3, 10))) * 86400 + (TIMEVALUE(MID(E3, 12, 8)) - TIMEVALUE(MID(D3, 12, 8))) * 86400 + (VALUE(RIGHT(E3, 6)) - VALUE(RIGHT(D3, 6))) / 1000000</f>
        <v>-0.17080800000055596</v>
      </c>
      <c r="J3" s="6"/>
      <c r="K3" s="3" cm="1">
        <f t="array" ref="K3">((LOOKUP(2,1/(G3:G24&lt;&gt;""),G3:G24) - G3)/SUM(H4:H25)) * 60</f>
        <v>-6.5507437973216884E-2</v>
      </c>
      <c r="L3" s="3">
        <f>((FLOOR(MAX(G3:G25), 1)-FLOOR(MIN(G3:G25), 1))/SUM(H4:H25)) * 60</f>
        <v>6.2929805184077495E-2</v>
      </c>
      <c r="M3" s="6">
        <v>0</v>
      </c>
      <c r="N3">
        <f>(MID(F3, 2, 7) + MID(F3, 12, 8)) / 2</f>
        <v>0.18037549999999999</v>
      </c>
      <c r="X3" s="18" t="s">
        <v>505</v>
      </c>
      <c r="Y3" s="19">
        <f>Uncalibrated!K171</f>
        <v>0.83394773800286059</v>
      </c>
      <c r="Z3" s="18">
        <f>267 * 0.9537 * 3600 / 1000000</f>
        <v>0.91669644000000006</v>
      </c>
      <c r="AA3" s="19">
        <f>Y3-Z3</f>
        <v>-8.2748701997139462E-2</v>
      </c>
      <c r="AB3" s="20">
        <f>K171</f>
        <v>-7.0984921337922877E-2</v>
      </c>
      <c r="AC3" s="19">
        <f>(1 - ABS(AB3)/ABS(Y3)) * 100</f>
        <v>91.488085151724533</v>
      </c>
      <c r="AD3" s="19">
        <f>Y3 - AB3</f>
        <v>0.90493265934078349</v>
      </c>
      <c r="AE3" s="19">
        <f>AVERAGE(AD3:AD10)</f>
        <v>0.90959714342979348</v>
      </c>
    </row>
    <row r="4" spans="1:31" x14ac:dyDescent="0.45">
      <c r="A4" s="9" t="s">
        <v>2</v>
      </c>
      <c r="B4" s="9">
        <v>3</v>
      </c>
      <c r="C4" s="1"/>
      <c r="D4" s="3" t="s">
        <v>474</v>
      </c>
      <c r="E4" s="3" t="s">
        <v>475</v>
      </c>
      <c r="F4" s="3" t="s">
        <v>476</v>
      </c>
      <c r="G4" s="4">
        <f t="shared" si="0"/>
        <v>-0.19613200000055597</v>
      </c>
      <c r="H4" s="3">
        <f t="shared" ref="H4:H17" si="1">((DATEVALUE(LEFT(D4,10))-DATEVALUE(LEFT(D3,10)))*86400+(TIMEVALUE(MID(D4,12,8))-TIMEVALUE(MID(D3,12,8)))*86400+(VALUE(RIGHT(D4,6))-VALUE(RIGHT(D3,6)))/1000000)/ 60</f>
        <v>15.200483733333332</v>
      </c>
      <c r="I4" s="3">
        <f t="shared" ref="I4:I17" si="2">(G4 - G3) / H4 * 60</f>
        <v>-9.9959976712320125E-2</v>
      </c>
      <c r="J4" s="7">
        <f t="shared" ref="J4:J17" si="3">(FLOOR(G4, 1) - FLOOR(G3, 1)) / H4 * 60</f>
        <v>0</v>
      </c>
      <c r="L4" s="3"/>
      <c r="M4" s="7">
        <f t="shared" ref="M4:M17" si="4">M3 + H4</f>
        <v>15.200483733333332</v>
      </c>
      <c r="N4">
        <f t="shared" ref="N4:N9" si="5">(MID(F4, 2, 7) + MID(F4, 12, 8)) / 2</f>
        <v>0.19612849999999998</v>
      </c>
      <c r="X4" s="18" t="s">
        <v>506</v>
      </c>
      <c r="Y4" s="19">
        <f>Uncalibrated!K3</f>
        <v>0.84065638870564696</v>
      </c>
      <c r="Z4" s="18">
        <f t="shared" ref="Z4:Z10" si="6">267 * 0.9537 * 3600 / 1000000</f>
        <v>0.91669644000000006</v>
      </c>
      <c r="AA4" s="19">
        <f t="shared" ref="AA4:AA10" si="7">Y4-Z4</f>
        <v>-7.6040051294353095E-2</v>
      </c>
      <c r="AB4" s="19">
        <f>K3</f>
        <v>-6.5507437973216884E-2</v>
      </c>
      <c r="AC4" s="19">
        <f t="shared" ref="AC4:AC10" si="8">(1 - ABS(AB4)/ABS(Y4)) * 100</f>
        <v>92.207584590646093</v>
      </c>
      <c r="AD4" s="19">
        <f t="shared" ref="AD4:AD10" si="9">Y4 - AB4</f>
        <v>0.90616382667886386</v>
      </c>
      <c r="AE4" s="18"/>
    </row>
    <row r="5" spans="1:31" x14ac:dyDescent="0.45">
      <c r="A5" s="9" t="s">
        <v>3</v>
      </c>
      <c r="B5" s="9">
        <v>4</v>
      </c>
      <c r="C5" s="1"/>
      <c r="D5" s="3" t="s">
        <v>483</v>
      </c>
      <c r="E5" s="3" t="s">
        <v>484</v>
      </c>
      <c r="F5" s="3" t="s">
        <v>485</v>
      </c>
      <c r="G5" s="4">
        <f t="shared" si="0"/>
        <v>-0.82140400000175506</v>
      </c>
      <c r="H5" s="3">
        <f t="shared" si="1"/>
        <v>582.91043439999999</v>
      </c>
      <c r="I5" s="3">
        <f t="shared" si="2"/>
        <v>-6.4360350726416743E-2</v>
      </c>
      <c r="J5" s="7">
        <f t="shared" si="3"/>
        <v>0</v>
      </c>
      <c r="K5" t="s">
        <v>340</v>
      </c>
      <c r="M5" s="7">
        <f t="shared" si="4"/>
        <v>598.11091813333337</v>
      </c>
      <c r="N5">
        <f t="shared" si="5"/>
        <v>0.82140349999999995</v>
      </c>
      <c r="X5" s="18" t="s">
        <v>507</v>
      </c>
      <c r="Y5" s="19">
        <f>Uncalibrated!K27</f>
        <v>0.86424537238464816</v>
      </c>
      <c r="Z5" s="18">
        <f t="shared" si="6"/>
        <v>0.91669644000000006</v>
      </c>
      <c r="AA5" s="19">
        <f t="shared" si="7"/>
        <v>-5.2451067615351898E-2</v>
      </c>
      <c r="AB5" s="19">
        <f>K27</f>
        <v>-4.7342906310196296E-2</v>
      </c>
      <c r="AC5" s="19">
        <f t="shared" si="8"/>
        <v>94.522052668958295</v>
      </c>
      <c r="AD5" s="19">
        <f t="shared" si="9"/>
        <v>0.91158827869484449</v>
      </c>
      <c r="AE5" s="18" t="s">
        <v>572</v>
      </c>
    </row>
    <row r="6" spans="1:31" x14ac:dyDescent="0.45">
      <c r="A6" s="9" t="s">
        <v>4</v>
      </c>
      <c r="B6" s="9">
        <v>5</v>
      </c>
      <c r="C6" s="1"/>
      <c r="D6" s="3" t="s">
        <v>520</v>
      </c>
      <c r="E6" s="3" t="s">
        <v>521</v>
      </c>
      <c r="F6" s="3" t="s">
        <v>522</v>
      </c>
      <c r="G6" s="4">
        <f t="shared" si="0"/>
        <v>-1.1647280000035101</v>
      </c>
      <c r="H6" s="3">
        <f t="shared" si="1"/>
        <v>393.42238666666674</v>
      </c>
      <c r="I6" s="3">
        <f t="shared" si="2"/>
        <v>-5.2359603058273592E-2</v>
      </c>
      <c r="J6" s="7">
        <f t="shared" si="3"/>
        <v>-0.15250784407150661</v>
      </c>
      <c r="K6" s="3">
        <f>(MAX(G3:G24)/(DATEDIF(VALUE(DATE(2000 + MID(B12, 1, 2), MID(B12, 4, 2), MID(B12, 7, 2))),VALUE(MID(D3, 1, 10)),"d")*(60*24)+(TIMEVALUE(MID(D3,12,8))-TIMEVALUE(RIGHT(B12,8))*24*60+MID(D3,21,6)/86400000+MAX(M3:M25)))) * 60</f>
        <v>-1.2087851194136179E-3</v>
      </c>
      <c r="L6" s="3"/>
      <c r="M6" s="7">
        <f t="shared" si="4"/>
        <v>991.53330480000011</v>
      </c>
      <c r="N6">
        <f t="shared" si="5"/>
        <v>0.1801045</v>
      </c>
      <c r="X6" s="18" t="s">
        <v>508</v>
      </c>
      <c r="Y6" s="19">
        <f>Uncalibrated!K51</f>
        <v>0.86373194988908797</v>
      </c>
      <c r="Z6" s="18">
        <f t="shared" si="6"/>
        <v>0.91669644000000006</v>
      </c>
      <c r="AA6" s="19">
        <f t="shared" si="7"/>
        <v>-5.2964490110912088E-2</v>
      </c>
      <c r="AB6" s="19">
        <f>K51</f>
        <v>-4.6450804696547013E-2</v>
      </c>
      <c r="AC6" s="19">
        <f t="shared" si="8"/>
        <v>94.622080993702767</v>
      </c>
      <c r="AD6" s="19">
        <f t="shared" si="9"/>
        <v>0.91018275458563502</v>
      </c>
      <c r="AE6" s="19">
        <f>(Z3 / AE3) * 100</f>
        <v>100.7804880019123</v>
      </c>
    </row>
    <row r="7" spans="1:31" x14ac:dyDescent="0.45">
      <c r="A7" s="9" t="s">
        <v>5</v>
      </c>
      <c r="B7" s="9">
        <v>6</v>
      </c>
      <c r="C7" s="1"/>
      <c r="D7" s="3" t="s">
        <v>545</v>
      </c>
      <c r="E7" s="3" t="s">
        <v>546</v>
      </c>
      <c r="F7" s="3" t="s">
        <v>547</v>
      </c>
      <c r="G7" s="4">
        <f t="shared" si="0"/>
        <v>-1.5393029999987138</v>
      </c>
      <c r="H7" s="3">
        <f t="shared" si="1"/>
        <v>954.97289883333326</v>
      </c>
      <c r="I7" s="3">
        <f t="shared" si="2"/>
        <v>-2.3534175710293731E-2</v>
      </c>
      <c r="J7" s="7">
        <f t="shared" si="3"/>
        <v>0</v>
      </c>
      <c r="M7" s="7">
        <f t="shared" si="4"/>
        <v>1946.5062036333334</v>
      </c>
      <c r="N7">
        <f t="shared" si="5"/>
        <v>0.53930199999999995</v>
      </c>
      <c r="X7" s="18" t="s">
        <v>509</v>
      </c>
      <c r="Y7" s="19">
        <f>Uncalibrated!K75</f>
        <v>0.90240489335996865</v>
      </c>
      <c r="Z7" s="18">
        <f t="shared" si="6"/>
        <v>0.91669644000000006</v>
      </c>
      <c r="AA7" s="19">
        <f t="shared" si="7"/>
        <v>-1.4291546640031405E-2</v>
      </c>
      <c r="AB7" s="19">
        <f>K75</f>
        <v>-8.2762451336135835E-3</v>
      </c>
      <c r="AC7" s="19">
        <f t="shared" si="8"/>
        <v>99.082867879539279</v>
      </c>
      <c r="AD7" s="19">
        <f t="shared" si="9"/>
        <v>0.91068113849358223</v>
      </c>
      <c r="AE7" s="18"/>
    </row>
    <row r="8" spans="1:31" x14ac:dyDescent="0.45">
      <c r="A8" s="9" t="s">
        <v>6</v>
      </c>
      <c r="B8" s="9">
        <v>7</v>
      </c>
      <c r="C8" s="1"/>
      <c r="D8" s="3" t="s">
        <v>576</v>
      </c>
      <c r="E8" s="3" t="s">
        <v>577</v>
      </c>
      <c r="F8" s="3" t="s">
        <v>578</v>
      </c>
      <c r="G8" s="4">
        <f t="shared" si="0"/>
        <v>-1.72772000000351</v>
      </c>
      <c r="H8" s="3">
        <f t="shared" si="1"/>
        <v>210.70315321666666</v>
      </c>
      <c r="I8" s="3">
        <f t="shared" si="2"/>
        <v>-5.3653777020901003E-2</v>
      </c>
      <c r="J8" s="7">
        <f t="shared" si="3"/>
        <v>0</v>
      </c>
      <c r="K8" s="8" t="s">
        <v>995</v>
      </c>
      <c r="M8" s="7">
        <f t="shared" si="4"/>
        <v>2157.2093568499999</v>
      </c>
      <c r="N8">
        <f t="shared" si="5"/>
        <v>0.7427705</v>
      </c>
      <c r="X8" s="18" t="s">
        <v>510</v>
      </c>
      <c r="Y8" s="19">
        <f>Uncalibrated!K99</f>
        <v>0.98479346875129592</v>
      </c>
      <c r="Z8" s="18">
        <f t="shared" si="6"/>
        <v>0.91669644000000006</v>
      </c>
      <c r="AA8" s="19">
        <f t="shared" si="7"/>
        <v>6.8097028751295863E-2</v>
      </c>
      <c r="AB8" s="19">
        <f>K99</f>
        <v>7.2696315881055254E-2</v>
      </c>
      <c r="AC8" s="19">
        <f t="shared" si="8"/>
        <v>92.618115555413553</v>
      </c>
      <c r="AD8" s="19">
        <f t="shared" si="9"/>
        <v>0.91209715287024062</v>
      </c>
      <c r="AE8" s="18"/>
    </row>
    <row r="9" spans="1:31" x14ac:dyDescent="0.45">
      <c r="A9" s="9" t="s">
        <v>7</v>
      </c>
      <c r="B9" s="9">
        <v>8</v>
      </c>
      <c r="C9" s="1"/>
      <c r="D9" s="2" t="s">
        <v>599</v>
      </c>
      <c r="E9" s="2" t="s">
        <v>600</v>
      </c>
      <c r="F9" s="2" t="s">
        <v>601</v>
      </c>
      <c r="G9" s="4">
        <f t="shared" si="0"/>
        <v>-3.5709730000070201</v>
      </c>
      <c r="H9" s="3">
        <f t="shared" si="1"/>
        <v>609.89737933333333</v>
      </c>
      <c r="I9" s="3">
        <f t="shared" si="2"/>
        <v>-0.18133407971206564</v>
      </c>
      <c r="J9" s="7">
        <f t="shared" si="3"/>
        <v>-0.19675441158833901</v>
      </c>
      <c r="K9">
        <f>_xlfn.STDEV.P(I4:I24)</f>
        <v>3.4684281406866378E-2</v>
      </c>
      <c r="M9" s="7">
        <f t="shared" si="4"/>
        <v>2767.1067361833334</v>
      </c>
      <c r="N9">
        <f t="shared" si="5"/>
        <v>0.57097050000000005</v>
      </c>
      <c r="X9" s="18" t="s">
        <v>511</v>
      </c>
      <c r="Y9" s="19">
        <f>Uncalibrated!K123</f>
        <v>1.023336653963606</v>
      </c>
      <c r="Z9" s="18">
        <f t="shared" si="6"/>
        <v>0.91669644000000006</v>
      </c>
      <c r="AA9" s="19">
        <f t="shared" si="7"/>
        <v>0.1066402139636059</v>
      </c>
      <c r="AB9" s="19">
        <f>K123</f>
        <v>0.1134430525392042</v>
      </c>
      <c r="AC9" s="19">
        <f t="shared" si="8"/>
        <v>88.914395658572914</v>
      </c>
      <c r="AD9" s="19">
        <f t="shared" si="9"/>
        <v>0.90989360142440179</v>
      </c>
      <c r="AE9" s="18"/>
    </row>
    <row r="10" spans="1:31" x14ac:dyDescent="0.45">
      <c r="A10" s="10" t="s">
        <v>338</v>
      </c>
      <c r="B10" s="11" t="s">
        <v>339</v>
      </c>
      <c r="D10" s="3" t="s">
        <v>620</v>
      </c>
      <c r="E10" s="3" t="s">
        <v>621</v>
      </c>
      <c r="F10" s="2" t="s">
        <v>622</v>
      </c>
      <c r="G10" s="4">
        <f t="shared" si="0"/>
        <v>-4.3214149999991829</v>
      </c>
      <c r="H10" s="3">
        <f t="shared" si="1"/>
        <v>633.79584966666664</v>
      </c>
      <c r="I10" s="3">
        <f t="shared" si="2"/>
        <v>-7.1042623619593986E-2</v>
      </c>
      <c r="J10" s="7">
        <f t="shared" si="3"/>
        <v>-9.4667707324931058E-2</v>
      </c>
      <c r="K10" s="8"/>
      <c r="M10" s="7">
        <f t="shared" si="4"/>
        <v>3400.9025858499999</v>
      </c>
      <c r="N10">
        <f t="shared" ref="N10:N17" si="10">(MID(F10, 2, 7) + MID(F10, 12, 8)) / 2</f>
        <v>0.32141299999999995</v>
      </c>
      <c r="X10" s="18" t="s">
        <v>512</v>
      </c>
      <c r="Y10" s="19">
        <f>Uncalibrated!K147</f>
        <v>0.93265426291504439</v>
      </c>
      <c r="Z10" s="18">
        <f t="shared" si="6"/>
        <v>0.91669644000000006</v>
      </c>
      <c r="AA10" s="19">
        <f t="shared" si="7"/>
        <v>1.5957822915044328E-2</v>
      </c>
      <c r="AB10" s="19">
        <f>K147</f>
        <v>2.1416527565047968E-2</v>
      </c>
      <c r="AC10" s="19">
        <f t="shared" si="8"/>
        <v>97.703701316057916</v>
      </c>
      <c r="AD10" s="19">
        <f t="shared" si="9"/>
        <v>0.91123773534999641</v>
      </c>
      <c r="AE10" s="18"/>
    </row>
    <row r="11" spans="1:31" x14ac:dyDescent="0.45">
      <c r="A11" s="10" t="str">
        <f>("№"&amp;B2&amp;" - "&amp;A2)</f>
        <v>№1 - Nothing</v>
      </c>
      <c r="B11" s="11" t="s">
        <v>541</v>
      </c>
      <c r="D11" s="3" t="s">
        <v>657</v>
      </c>
      <c r="E11" s="3" t="s">
        <v>658</v>
      </c>
      <c r="F11" s="2" t="s">
        <v>659</v>
      </c>
      <c r="G11" s="4">
        <f t="shared" si="0"/>
        <v>-5.1025750000003383</v>
      </c>
      <c r="H11" s="3">
        <f t="shared" si="1"/>
        <v>871.99634746666675</v>
      </c>
      <c r="I11" s="3">
        <f t="shared" si="2"/>
        <v>-5.3749766425324363E-2</v>
      </c>
      <c r="J11" s="7">
        <f t="shared" si="3"/>
        <v>-6.8807627663020204E-2</v>
      </c>
      <c r="K11" s="8"/>
      <c r="M11" s="7">
        <f t="shared" si="4"/>
        <v>4272.8989333166664</v>
      </c>
      <c r="N11">
        <f t="shared" si="10"/>
        <v>0.1178705</v>
      </c>
    </row>
    <row r="12" spans="1:31" x14ac:dyDescent="0.45">
      <c r="A12" s="11" t="str">
        <f t="shared" ref="A12:A18" si="11">("№"&amp;B3&amp;" - "&amp;A3)</f>
        <v>№2 - Blue tape</v>
      </c>
      <c r="B12" s="11" t="s">
        <v>470</v>
      </c>
      <c r="D12" s="3" t="s">
        <v>681</v>
      </c>
      <c r="E12" s="3" t="s">
        <v>682</v>
      </c>
      <c r="F12" s="2" t="s">
        <v>683</v>
      </c>
      <c r="G12" s="4">
        <f t="shared" si="0"/>
        <v>-5.8212930000009377</v>
      </c>
      <c r="H12" s="3">
        <f t="shared" si="1"/>
        <v>660.06198086666666</v>
      </c>
      <c r="I12" s="3">
        <f t="shared" si="2"/>
        <v>-6.5331864658247737E-2</v>
      </c>
      <c r="J12" s="7">
        <f t="shared" si="3"/>
        <v>0</v>
      </c>
      <c r="K12" s="8"/>
      <c r="M12" s="7">
        <f t="shared" si="4"/>
        <v>4932.9609141833334</v>
      </c>
      <c r="N12">
        <f t="shared" si="10"/>
        <v>0.82129000000000008</v>
      </c>
    </row>
    <row r="13" spans="1:31" x14ac:dyDescent="0.45">
      <c r="A13" s="11" t="str">
        <f t="shared" si="11"/>
        <v>№3 - ACCZERO PBRC</v>
      </c>
      <c r="B13" s="11" t="s">
        <v>450</v>
      </c>
      <c r="D13" s="3" t="s">
        <v>693</v>
      </c>
      <c r="E13" s="3" t="s">
        <v>694</v>
      </c>
      <c r="F13" s="2" t="s">
        <v>695</v>
      </c>
      <c r="G13" s="4">
        <f t="shared" si="0"/>
        <v>-6.5089789999978969</v>
      </c>
      <c r="H13" s="3">
        <f t="shared" si="1"/>
        <v>697.07813114999999</v>
      </c>
      <c r="I13" s="3">
        <f t="shared" si="2"/>
        <v>-5.9191585786441507E-2</v>
      </c>
      <c r="J13" s="7">
        <f t="shared" si="3"/>
        <v>-8.6073565241553907E-2</v>
      </c>
      <c r="K13" s="8"/>
      <c r="M13" s="7">
        <f t="shared" si="4"/>
        <v>5630.039045333333</v>
      </c>
      <c r="N13">
        <f t="shared" si="10"/>
        <v>0.52414749999999999</v>
      </c>
      <c r="P13" s="3"/>
      <c r="Q13" s="3"/>
    </row>
    <row r="14" spans="1:31" x14ac:dyDescent="0.45">
      <c r="A14" s="11" t="str">
        <f t="shared" si="11"/>
        <v>№4 - IMGCOF</v>
      </c>
      <c r="B14" s="11" t="s">
        <v>451</v>
      </c>
      <c r="D14" s="3" t="s">
        <v>717</v>
      </c>
      <c r="E14" s="3" t="s">
        <v>718</v>
      </c>
      <c r="F14" s="2" t="s">
        <v>722</v>
      </c>
      <c r="G14" s="4">
        <f t="shared" si="0"/>
        <v>-7.6336229999948557</v>
      </c>
      <c r="H14" s="3">
        <f t="shared" si="1"/>
        <v>1106.8854067499999</v>
      </c>
      <c r="I14" s="3">
        <f t="shared" si="2"/>
        <v>-6.0962625027233916E-2</v>
      </c>
      <c r="J14" s="7">
        <f t="shared" si="3"/>
        <v>-5.420615326040841E-2</v>
      </c>
      <c r="K14" s="8"/>
      <c r="M14" s="7">
        <f t="shared" si="4"/>
        <v>6736.9244520833327</v>
      </c>
      <c r="N14">
        <f t="shared" si="10"/>
        <v>0.64938300000000004</v>
      </c>
      <c r="P14" s="3"/>
      <c r="Q14" s="3"/>
    </row>
    <row r="15" spans="1:31" x14ac:dyDescent="0.45">
      <c r="A15" s="11" t="str">
        <f t="shared" si="11"/>
        <v>№5 - ERR15</v>
      </c>
      <c r="B15" s="11" t="s">
        <v>455</v>
      </c>
      <c r="D15" s="3" t="s">
        <v>752</v>
      </c>
      <c r="E15" s="3" t="s">
        <v>753</v>
      </c>
      <c r="F15" s="2" t="s">
        <v>754</v>
      </c>
      <c r="G15" s="4">
        <f t="shared" si="0"/>
        <v>-8.0711719999990095</v>
      </c>
      <c r="H15" s="3">
        <f t="shared" si="1"/>
        <v>479.59061853333344</v>
      </c>
      <c r="I15" s="3">
        <f t="shared" si="2"/>
        <v>-5.4740311811217267E-2</v>
      </c>
      <c r="J15" s="7">
        <f t="shared" si="3"/>
        <v>-0.12510670075968086</v>
      </c>
      <c r="K15" s="8"/>
      <c r="M15" s="7">
        <f t="shared" si="4"/>
        <v>7216.515070616666</v>
      </c>
      <c r="N15">
        <f t="shared" si="10"/>
        <v>8.6587499999999998E-2</v>
      </c>
      <c r="P15" s="3"/>
      <c r="Q15" s="3"/>
    </row>
    <row r="16" spans="1:31" x14ac:dyDescent="0.45">
      <c r="A16" s="11" t="str">
        <f t="shared" si="11"/>
        <v>№6 - IMG COR LSU</v>
      </c>
      <c r="B16" s="11" t="s">
        <v>459</v>
      </c>
      <c r="D16" s="3" t="s">
        <v>786</v>
      </c>
      <c r="E16" s="3" t="s">
        <v>787</v>
      </c>
      <c r="F16" s="2" t="s">
        <v>788</v>
      </c>
      <c r="G16" s="4">
        <f t="shared" si="0"/>
        <v>-8.7273289999918138</v>
      </c>
      <c r="H16" s="3">
        <f t="shared" si="1"/>
        <v>630.42759836666653</v>
      </c>
      <c r="I16" s="3">
        <f t="shared" si="2"/>
        <v>-6.2448757163499666E-2</v>
      </c>
      <c r="J16" s="7">
        <f t="shared" si="3"/>
        <v>0</v>
      </c>
      <c r="K16" s="8"/>
      <c r="M16" s="7">
        <f t="shared" si="4"/>
        <v>7846.9426689833326</v>
      </c>
      <c r="N16">
        <f t="shared" si="10"/>
        <v>0.72732799999999997</v>
      </c>
      <c r="P16" s="3"/>
      <c r="Q16" s="3"/>
    </row>
    <row r="17" spans="1:17" x14ac:dyDescent="0.45">
      <c r="A17" s="11" t="str">
        <f t="shared" si="11"/>
        <v>№7 - IVAN ERR15</v>
      </c>
      <c r="B17" s="11" t="s">
        <v>463</v>
      </c>
      <c r="D17" s="3" t="s">
        <v>789</v>
      </c>
      <c r="E17" s="3" t="s">
        <v>791</v>
      </c>
      <c r="F17" s="3" t="s">
        <v>790</v>
      </c>
      <c r="G17" s="4">
        <f t="shared" si="0"/>
        <v>-9.5394520000001641</v>
      </c>
      <c r="H17" s="3">
        <f t="shared" si="1"/>
        <v>734.0468704000001</v>
      </c>
      <c r="I17" s="3">
        <f t="shared" si="2"/>
        <v>-6.6381837407668912E-2</v>
      </c>
      <c r="J17" s="7">
        <f t="shared" si="3"/>
        <v>-8.1738649695903665E-2</v>
      </c>
      <c r="K17" s="8"/>
      <c r="M17" s="7">
        <f t="shared" si="4"/>
        <v>8580.9895393833322</v>
      </c>
      <c r="N17">
        <f t="shared" si="10"/>
        <v>0.5394485</v>
      </c>
      <c r="P17" s="3"/>
      <c r="Q17" s="3"/>
    </row>
    <row r="18" spans="1:17" x14ac:dyDescent="0.45">
      <c r="A18" s="11" t="str">
        <f t="shared" si="11"/>
        <v>№8 - AIM TRAINING DEVICE</v>
      </c>
      <c r="B18" s="11" t="s">
        <v>489</v>
      </c>
      <c r="D18" s="3"/>
      <c r="E18" s="3"/>
      <c r="F18" s="2"/>
      <c r="G18" s="5"/>
      <c r="H18" s="3"/>
      <c r="I18" s="3"/>
      <c r="J18" s="7"/>
      <c r="K18" s="6"/>
      <c r="M18" s="7"/>
      <c r="P18" s="3"/>
      <c r="Q18" s="3"/>
    </row>
    <row r="19" spans="1:17" x14ac:dyDescent="0.45">
      <c r="D19" s="3"/>
      <c r="E19" s="3"/>
      <c r="F19" s="2"/>
      <c r="G19" s="5"/>
      <c r="H19" s="3"/>
      <c r="I19" s="3"/>
      <c r="J19" s="7"/>
      <c r="K19" s="6"/>
      <c r="M19" s="7"/>
      <c r="P19" s="3"/>
      <c r="Q19" s="3"/>
    </row>
    <row r="20" spans="1:17" x14ac:dyDescent="0.45">
      <c r="A20" s="17" t="s">
        <v>368</v>
      </c>
      <c r="D20" s="3"/>
      <c r="E20" s="3"/>
      <c r="F20" s="3"/>
      <c r="H20" s="3"/>
      <c r="I20" s="3"/>
      <c r="J20" s="6"/>
      <c r="L20" s="3"/>
      <c r="M20" s="7"/>
      <c r="P20" s="16" t="s">
        <v>342</v>
      </c>
      <c r="Q20" s="3"/>
    </row>
    <row r="21" spans="1:17" x14ac:dyDescent="0.45">
      <c r="A21" s="16">
        <f>AVERAGE(K3, K27, K51, K75, K99, K123, K147, K181)</f>
        <v>5.7112145531048103E-3</v>
      </c>
      <c r="D21" s="3"/>
      <c r="E21" s="3"/>
      <c r="F21" s="3"/>
      <c r="H21" s="3"/>
      <c r="I21" s="3"/>
      <c r="J21" s="6"/>
      <c r="K21" s="6"/>
      <c r="L21" s="3"/>
      <c r="M21" s="7"/>
      <c r="N21" s="6"/>
      <c r="P21" s="17">
        <f>AVERAGE(N3:N250)</f>
        <v>0.51014430803571431</v>
      </c>
      <c r="Q21" s="3"/>
    </row>
    <row r="22" spans="1:17" x14ac:dyDescent="0.45">
      <c r="A22" s="17"/>
      <c r="D22" s="3"/>
      <c r="E22" s="3"/>
      <c r="F22" s="3"/>
      <c r="H22" s="3"/>
      <c r="I22" s="3"/>
      <c r="J22" s="6"/>
      <c r="K22" s="6"/>
      <c r="L22" s="3"/>
      <c r="M22" s="7"/>
      <c r="P22" s="3"/>
      <c r="Q22" s="3"/>
    </row>
    <row r="23" spans="1:17" x14ac:dyDescent="0.45">
      <c r="A23" s="17" t="s">
        <v>369</v>
      </c>
      <c r="D23" s="3"/>
      <c r="E23" s="3"/>
      <c r="F23" s="3"/>
      <c r="H23" s="3"/>
      <c r="I23" s="3"/>
      <c r="J23" s="6"/>
      <c r="K23" s="6"/>
      <c r="L23" s="3"/>
      <c r="M23" s="7"/>
      <c r="P23" s="3"/>
      <c r="Q23" s="3"/>
    </row>
    <row r="24" spans="1:17" x14ac:dyDescent="0.45">
      <c r="A24" s="16">
        <f>A21 / 3600 * 1000000</f>
        <v>1.5864484869735584</v>
      </c>
      <c r="D24" s="3"/>
      <c r="E24" s="3"/>
      <c r="F24" s="3"/>
      <c r="H24" s="3"/>
      <c r="I24" s="3"/>
      <c r="J24" s="6"/>
      <c r="K24" s="6"/>
      <c r="L24" s="3"/>
      <c r="M24" s="7"/>
      <c r="P24" s="3"/>
      <c r="Q24" s="3"/>
    </row>
    <row r="25" spans="1:17" x14ac:dyDescent="0.45">
      <c r="D25" s="12" t="str">
        <f>("№"&amp;B4&amp;" - "&amp;A4)</f>
        <v>№3 - ACCZERO PBRC</v>
      </c>
      <c r="E25" s="12"/>
      <c r="F25" s="12"/>
      <c r="G25" s="13"/>
      <c r="H25" s="13"/>
      <c r="I25" s="13"/>
      <c r="J25" s="13"/>
      <c r="K25" s="13"/>
      <c r="L25" s="13"/>
      <c r="M25" s="14"/>
      <c r="N25" s="13"/>
      <c r="P25" s="3"/>
      <c r="Q25" s="3"/>
    </row>
    <row r="26" spans="1:17" x14ac:dyDescent="0.45">
      <c r="A26" s="17" t="s">
        <v>370</v>
      </c>
      <c r="B26" s="17" t="s">
        <v>371</v>
      </c>
      <c r="D26" s="12" t="s">
        <v>8</v>
      </c>
      <c r="E26" s="12" t="s">
        <v>9</v>
      </c>
      <c r="F26" s="12" t="s">
        <v>10</v>
      </c>
      <c r="G26" s="12" t="s">
        <v>346</v>
      </c>
      <c r="H26" s="12" t="s">
        <v>222</v>
      </c>
      <c r="I26" s="12" t="s">
        <v>223</v>
      </c>
      <c r="J26" s="12" t="s">
        <v>224</v>
      </c>
      <c r="K26" s="12" t="s">
        <v>225</v>
      </c>
      <c r="L26" s="12" t="s">
        <v>345</v>
      </c>
      <c r="M26" s="12" t="s">
        <v>344</v>
      </c>
      <c r="N26" s="12"/>
      <c r="P26" s="3"/>
      <c r="Q26" s="3"/>
    </row>
    <row r="27" spans="1:17" x14ac:dyDescent="0.45">
      <c r="A27" s="17">
        <f>IF(A24 &gt; 0, ROUND(A24 / 0.9537, 0), IF(A24 + 488.5 &gt; 0, ROUND((A24 + 488.5) / 0.9537, 0), 0))</f>
        <v>2</v>
      </c>
      <c r="B27" s="17">
        <f>IF(A24 &gt; 0, 0, 1)</f>
        <v>0</v>
      </c>
      <c r="D27" s="2" t="s">
        <v>452</v>
      </c>
      <c r="E27" s="2" t="s">
        <v>453</v>
      </c>
      <c r="F27" s="1" t="s">
        <v>454</v>
      </c>
      <c r="G27" s="3">
        <f t="shared" ref="G27:G40" si="12">(DATEVALUE(LEFT(E27, 10))-DATEVALUE(LEFT(D27, 10))) * 86400 + (TIMEVALUE(MID(E27, 12, 8)) - TIMEVALUE(MID(D27, 12, 8))) * 86400 + (VALUE(RIGHT(E27, 6)) - VALUE(RIGHT(D27, 6))) / 1000000</f>
        <v>-0.19622399999995643</v>
      </c>
      <c r="H27" s="3"/>
      <c r="I27" s="3"/>
      <c r="J27" s="6"/>
      <c r="K27" s="3" cm="1">
        <f t="array" ref="K27">((LOOKUP(2,1/(G27:G48&lt;&gt;""),G27:G48) - G27)/SUM(H28:H49)) * 60</f>
        <v>-4.7342906310196296E-2</v>
      </c>
      <c r="L27" s="3">
        <f>((FLOOR(MAX(G27:G49), 1)-FLOOR(MIN(G27:G49), 1))/SUM(H28:H49)) * 60</f>
        <v>4.8645379394136518E-2</v>
      </c>
      <c r="M27" s="6">
        <v>0</v>
      </c>
      <c r="N27">
        <f t="shared" ref="N27:N40" si="13">(MID(F27, 2, 7) + MID(F27, 12, 8)) / 2</f>
        <v>0.1962235</v>
      </c>
    </row>
    <row r="28" spans="1:17" x14ac:dyDescent="0.45">
      <c r="D28" s="2" t="s">
        <v>493</v>
      </c>
      <c r="E28" s="2" t="s">
        <v>494</v>
      </c>
      <c r="F28" s="1" t="s">
        <v>495</v>
      </c>
      <c r="G28" s="3">
        <f t="shared" si="12"/>
        <v>-0.69616200000655115</v>
      </c>
      <c r="H28" s="3">
        <f t="shared" ref="H28:H40" si="14">((DATEVALUE(LEFT(D28,10))-DATEVALUE(LEFT(D27,10)))*86400+(TIMEVALUE(MID(D28,12,8))-TIMEVALUE(MID(D27,12,8)))*86400+(VALUE(RIGHT(D28,6))-VALUE(RIGHT(D27,6)))/1000000)/ 60</f>
        <v>668.42499956666666</v>
      </c>
      <c r="I28" s="3">
        <f t="shared" ref="I28:I40" si="15">3600 * (G28-G27) / ((DATEVALUE(LEFT(D28, 10))-DATEVALUE(LEFT(D27, 10))) * 86400 + (TIMEVALUE(MID(D28, 12, 8)) - TIMEVALUE(MID(D27, 12, 8))) * 86400 + (VALUE(RIGHT(D28, 6)) - VALUE(RIGHT(D27, 6))) / 1000000)</f>
        <v>-4.4876059423034714E-2</v>
      </c>
      <c r="J28" s="7">
        <f t="shared" ref="J28:J40" si="16">(FLOOR(G28, 1) - FLOOR(G27, 1)) / H28 * 60</f>
        <v>0</v>
      </c>
      <c r="L28" s="3"/>
      <c r="M28" s="7">
        <f t="shared" ref="M28:M40" si="17">M27 + H28</f>
        <v>668.42499956666666</v>
      </c>
      <c r="N28">
        <f t="shared" si="13"/>
        <v>0.69615950000000004</v>
      </c>
    </row>
    <row r="29" spans="1:17" x14ac:dyDescent="0.45">
      <c r="D29" s="2" t="s">
        <v>524</v>
      </c>
      <c r="E29" s="2" t="s">
        <v>525</v>
      </c>
      <c r="F29" s="1" t="s">
        <v>523</v>
      </c>
      <c r="G29" s="3">
        <f t="shared" si="12"/>
        <v>-0.91473500000655117</v>
      </c>
      <c r="H29" s="3">
        <f t="shared" si="14"/>
        <v>359.47029681666669</v>
      </c>
      <c r="I29" s="3">
        <f t="shared" si="15"/>
        <v>-3.6482513621114182E-2</v>
      </c>
      <c r="J29" s="7">
        <f t="shared" si="16"/>
        <v>0</v>
      </c>
      <c r="K29" t="s">
        <v>340</v>
      </c>
      <c r="M29" s="7">
        <f t="shared" si="17"/>
        <v>1027.8952963833333</v>
      </c>
      <c r="N29">
        <f t="shared" si="13"/>
        <v>0.91473300000000002</v>
      </c>
    </row>
    <row r="30" spans="1:17" x14ac:dyDescent="0.45">
      <c r="D30" s="2" t="s">
        <v>548</v>
      </c>
      <c r="E30" s="2" t="s">
        <v>549</v>
      </c>
      <c r="F30" s="1" t="s">
        <v>550</v>
      </c>
      <c r="G30" s="3">
        <f t="shared" si="12"/>
        <v>-1.0083549999987138</v>
      </c>
      <c r="H30" s="3">
        <f t="shared" si="14"/>
        <v>952.78489490000004</v>
      </c>
      <c r="I30" s="3">
        <f t="shared" si="15"/>
        <v>-5.8955594590102255E-3</v>
      </c>
      <c r="J30" s="7">
        <f t="shared" si="16"/>
        <v>-6.2973290530909734E-2</v>
      </c>
      <c r="K30" s="3">
        <f>(MAX(G27:G49) / (DATEDIF(VALUE(DATE(2000 + MID(B13, 1, 2), MID(B13, 4, 2), MID(B13, 7, 2))), VALUE(DATEVALUE(MID(D27, 1, 10)) + TIMEVALUE(MID(D27, 12, 8)) + MID(D27, 21, 6) / 86400000), "d") * 1440 + (TIMEVALUE(MID(D27, 12, 8)) - TIMEVALUE(RIGHT(B13, 8))) * 1440 + MID(D27, 21, 6) / 86400000 + MAX(M27:M49))) * 60</f>
        <v>-1.3632374597065428E-3</v>
      </c>
      <c r="L30" s="3"/>
      <c r="M30" s="7">
        <f t="shared" si="17"/>
        <v>1980.6801912833334</v>
      </c>
      <c r="N30">
        <f t="shared" si="13"/>
        <v>8.350999999999999E-3</v>
      </c>
    </row>
    <row r="31" spans="1:17" x14ac:dyDescent="0.45">
      <c r="D31" s="3" t="s">
        <v>573</v>
      </c>
      <c r="E31" s="3" t="s">
        <v>574</v>
      </c>
      <c r="F31" s="1" t="s">
        <v>575</v>
      </c>
      <c r="G31" s="3">
        <f t="shared" si="12"/>
        <v>-1.1331979999939179</v>
      </c>
      <c r="H31" s="3">
        <f t="shared" si="14"/>
        <v>203.2020858166666</v>
      </c>
      <c r="I31" s="3">
        <f t="shared" si="15"/>
        <v>-3.6862712159708891E-2</v>
      </c>
      <c r="J31" s="7">
        <f t="shared" si="16"/>
        <v>0</v>
      </c>
      <c r="M31" s="7">
        <f t="shared" si="17"/>
        <v>2183.8822771</v>
      </c>
      <c r="N31">
        <f t="shared" si="13"/>
        <v>0.149115</v>
      </c>
    </row>
    <row r="32" spans="1:17" x14ac:dyDescent="0.45">
      <c r="D32" s="2" t="s">
        <v>617</v>
      </c>
      <c r="E32" s="2" t="s">
        <v>618</v>
      </c>
      <c r="F32" s="1" t="s">
        <v>619</v>
      </c>
      <c r="G32" s="3">
        <f t="shared" si="12"/>
        <v>-2.7895290000000195</v>
      </c>
      <c r="H32" s="3">
        <f t="shared" si="14"/>
        <v>632.4942714</v>
      </c>
      <c r="I32" s="3">
        <f t="shared" si="15"/>
        <v>-0.15712373138240901</v>
      </c>
      <c r="J32" s="7">
        <f t="shared" si="16"/>
        <v>-9.4862519256012356E-2</v>
      </c>
      <c r="K32" s="8" t="s">
        <v>995</v>
      </c>
      <c r="M32" s="7">
        <f t="shared" si="17"/>
        <v>2816.3765484999999</v>
      </c>
      <c r="N32">
        <f t="shared" si="13"/>
        <v>0.80503150000000001</v>
      </c>
    </row>
    <row r="33" spans="4:14" x14ac:dyDescent="0.45">
      <c r="D33" s="2" t="s">
        <v>629</v>
      </c>
      <c r="E33" s="2" t="s">
        <v>630</v>
      </c>
      <c r="F33" s="1" t="s">
        <v>631</v>
      </c>
      <c r="G33" s="3">
        <f t="shared" si="12"/>
        <v>-3.320824999997428</v>
      </c>
      <c r="H33" s="3">
        <f t="shared" si="14"/>
        <v>657.75885601666664</v>
      </c>
      <c r="I33" s="3">
        <f t="shared" si="15"/>
        <v>-4.8464204941144527E-2</v>
      </c>
      <c r="J33" s="7">
        <f t="shared" si="16"/>
        <v>-9.1218840234786117E-2</v>
      </c>
      <c r="K33">
        <f>_xlfn.STDEV.P(I28:I48)</f>
        <v>3.3241388383721052E-2</v>
      </c>
      <c r="M33" s="7">
        <f t="shared" si="17"/>
        <v>3474.1354045166663</v>
      </c>
      <c r="N33">
        <f t="shared" si="13"/>
        <v>0.320824</v>
      </c>
    </row>
    <row r="34" spans="4:14" x14ac:dyDescent="0.45">
      <c r="D34" s="3" t="s">
        <v>648</v>
      </c>
      <c r="E34" s="3" t="s">
        <v>649</v>
      </c>
      <c r="F34" s="1" t="s">
        <v>650</v>
      </c>
      <c r="G34" s="3">
        <f t="shared" si="12"/>
        <v>-3.8521559999998258</v>
      </c>
      <c r="H34" s="3">
        <f t="shared" si="14"/>
        <v>822.74218965</v>
      </c>
      <c r="I34" s="3">
        <f t="shared" si="15"/>
        <v>-3.8748298557177159E-2</v>
      </c>
      <c r="J34" s="7">
        <f t="shared" si="16"/>
        <v>0</v>
      </c>
      <c r="M34" s="7">
        <f t="shared" si="17"/>
        <v>4296.8775941666663</v>
      </c>
      <c r="N34">
        <f t="shared" si="13"/>
        <v>0.85215599999999991</v>
      </c>
    </row>
    <row r="35" spans="4:14" x14ac:dyDescent="0.45">
      <c r="D35" s="3" t="s">
        <v>675</v>
      </c>
      <c r="E35" s="3" t="s">
        <v>676</v>
      </c>
      <c r="F35" s="1" t="s">
        <v>677</v>
      </c>
      <c r="G35" s="3">
        <f t="shared" si="12"/>
        <v>-4.3523689999991833</v>
      </c>
      <c r="H35" s="3">
        <f t="shared" si="14"/>
        <v>660.69166484999994</v>
      </c>
      <c r="I35" s="3">
        <f t="shared" si="15"/>
        <v>-4.5426303367661514E-2</v>
      </c>
      <c r="J35" s="7">
        <f t="shared" si="16"/>
        <v>-9.0813920005517398E-2</v>
      </c>
      <c r="M35" s="7">
        <f t="shared" si="17"/>
        <v>4957.5692590166664</v>
      </c>
      <c r="N35">
        <f t="shared" si="13"/>
        <v>0.3686025</v>
      </c>
    </row>
    <row r="36" spans="4:14" x14ac:dyDescent="0.45">
      <c r="D36" s="3" t="s">
        <v>710</v>
      </c>
      <c r="E36" s="3" t="s">
        <v>711</v>
      </c>
      <c r="F36" s="1" t="s">
        <v>712</v>
      </c>
      <c r="G36" s="3">
        <f t="shared" si="12"/>
        <v>-4.8832900000039787</v>
      </c>
      <c r="H36" s="3">
        <f t="shared" si="14"/>
        <v>716.75885163333328</v>
      </c>
      <c r="I36" s="3">
        <f t="shared" si="15"/>
        <v>-4.4443483226885454E-2</v>
      </c>
      <c r="J36" s="7">
        <f t="shared" si="16"/>
        <v>0</v>
      </c>
      <c r="M36" s="7">
        <f t="shared" si="17"/>
        <v>5674.3281106499999</v>
      </c>
      <c r="N36">
        <f t="shared" si="13"/>
        <v>0.88328549999999995</v>
      </c>
    </row>
    <row r="37" spans="4:14" x14ac:dyDescent="0.45">
      <c r="D37" s="3" t="s">
        <v>719</v>
      </c>
      <c r="E37" s="3" t="s">
        <v>720</v>
      </c>
      <c r="F37" t="s">
        <v>721</v>
      </c>
      <c r="G37" s="3">
        <f t="shared" si="12"/>
        <v>-5.6649670000009378</v>
      </c>
      <c r="H37" s="3">
        <f t="shared" si="14"/>
        <v>1096.1130252333335</v>
      </c>
      <c r="I37" s="3">
        <f t="shared" si="15"/>
        <v>-4.2788123961790936E-2</v>
      </c>
      <c r="J37" s="7">
        <f t="shared" si="16"/>
        <v>-5.473888058873088E-2</v>
      </c>
      <c r="M37" s="7">
        <f t="shared" si="17"/>
        <v>6770.4411358833331</v>
      </c>
      <c r="N37">
        <f t="shared" si="13"/>
        <v>0.68065100000000001</v>
      </c>
    </row>
    <row r="38" spans="4:14" x14ac:dyDescent="0.45">
      <c r="D38" s="3" t="s">
        <v>762</v>
      </c>
      <c r="E38" s="3" t="s">
        <v>763</v>
      </c>
      <c r="F38" s="1" t="s">
        <v>761</v>
      </c>
      <c r="G38" s="3">
        <f t="shared" si="12"/>
        <v>-5.977399000000938</v>
      </c>
      <c r="H38" s="3">
        <f t="shared" si="14"/>
        <v>485.70521178333337</v>
      </c>
      <c r="I38" s="3">
        <f t="shared" si="15"/>
        <v>-3.8595262198591197E-2</v>
      </c>
      <c r="J38" s="7">
        <f t="shared" si="16"/>
        <v>0</v>
      </c>
      <c r="M38" s="7">
        <f t="shared" si="17"/>
        <v>7256.1463476666668</v>
      </c>
      <c r="N38">
        <f t="shared" si="13"/>
        <v>0.97739900000000002</v>
      </c>
    </row>
    <row r="39" spans="4:14" x14ac:dyDescent="0.45">
      <c r="D39" s="3" t="s">
        <v>765</v>
      </c>
      <c r="E39" s="3" t="s">
        <v>766</v>
      </c>
      <c r="F39" s="1" t="s">
        <v>767</v>
      </c>
      <c r="G39" s="3">
        <f t="shared" si="12"/>
        <v>-6.5395509999978971</v>
      </c>
      <c r="H39" s="3">
        <f t="shared" si="14"/>
        <v>601.84270423333317</v>
      </c>
      <c r="I39" s="3">
        <f t="shared" si="15"/>
        <v>-5.604308195907088E-2</v>
      </c>
      <c r="J39" s="7">
        <f t="shared" si="16"/>
        <v>-9.9693822950686004E-2</v>
      </c>
      <c r="M39" s="7">
        <f t="shared" si="17"/>
        <v>7857.9890519</v>
      </c>
      <c r="N39">
        <f t="shared" si="13"/>
        <v>0.55559199999999997</v>
      </c>
    </row>
    <row r="40" spans="4:14" x14ac:dyDescent="0.45">
      <c r="D40" s="3" t="s">
        <v>810</v>
      </c>
      <c r="E40" s="3" t="s">
        <v>811</v>
      </c>
      <c r="F40" s="1" t="s">
        <v>812</v>
      </c>
      <c r="G40" s="3">
        <f t="shared" si="12"/>
        <v>-7.0087999999996518</v>
      </c>
      <c r="H40" s="3">
        <f t="shared" si="14"/>
        <v>775.9244920166667</v>
      </c>
      <c r="I40" s="3">
        <f t="shared" si="15"/>
        <v>-3.6285669919928903E-2</v>
      </c>
      <c r="J40" s="7">
        <f t="shared" si="16"/>
        <v>-7.7327111874065213E-2</v>
      </c>
      <c r="M40" s="7">
        <f t="shared" si="17"/>
        <v>8633.9135439166675</v>
      </c>
      <c r="N40">
        <f t="shared" si="13"/>
        <v>2.4007500000000001E-2</v>
      </c>
    </row>
    <row r="41" spans="4:14" x14ac:dyDescent="0.45">
      <c r="D41" s="3"/>
      <c r="E41" s="3"/>
      <c r="F41" s="1"/>
      <c r="G41" s="3"/>
      <c r="H41" s="3"/>
      <c r="I41" s="3"/>
      <c r="J41" s="7"/>
      <c r="K41" s="6"/>
      <c r="M41" s="7"/>
    </row>
    <row r="42" spans="4:14" x14ac:dyDescent="0.45">
      <c r="D42" s="3"/>
      <c r="E42" s="3"/>
      <c r="F42" s="1"/>
      <c r="G42" s="3"/>
      <c r="H42" s="3"/>
      <c r="I42" s="3"/>
      <c r="J42" s="7"/>
      <c r="K42" s="6"/>
      <c r="M42" s="7"/>
    </row>
    <row r="43" spans="4:14" x14ac:dyDescent="0.45">
      <c r="D43" s="3"/>
      <c r="E43" s="3"/>
      <c r="F43" s="1"/>
      <c r="G43" s="3"/>
      <c r="H43" s="3"/>
      <c r="I43" s="3"/>
      <c r="J43" s="7"/>
      <c r="K43" s="6"/>
      <c r="M43" s="7"/>
    </row>
    <row r="44" spans="4:14" x14ac:dyDescent="0.45">
      <c r="D44" s="3"/>
      <c r="E44" s="3"/>
      <c r="H44" s="3"/>
      <c r="I44" s="3"/>
      <c r="J44" s="6"/>
      <c r="M44" s="6"/>
    </row>
    <row r="45" spans="4:14" x14ac:dyDescent="0.45">
      <c r="D45" s="3"/>
      <c r="E45" s="3"/>
      <c r="H45" s="3"/>
      <c r="I45" s="3"/>
      <c r="J45" s="6"/>
      <c r="M45" s="6"/>
    </row>
    <row r="46" spans="4:14" x14ac:dyDescent="0.45">
      <c r="D46" s="3"/>
      <c r="E46" s="3"/>
      <c r="H46" s="3"/>
      <c r="I46" s="3"/>
      <c r="J46" s="6"/>
      <c r="M46" s="6"/>
    </row>
    <row r="47" spans="4:14" x14ac:dyDescent="0.45">
      <c r="D47" s="3"/>
      <c r="E47" s="3"/>
      <c r="H47" s="3"/>
      <c r="I47" s="3"/>
      <c r="J47" s="6"/>
      <c r="M47" s="6"/>
    </row>
    <row r="48" spans="4:14" x14ac:dyDescent="0.45">
      <c r="D48" s="3"/>
      <c r="E48" s="3"/>
      <c r="H48" s="3"/>
      <c r="I48" s="3"/>
      <c r="J48" s="6"/>
      <c r="M48" s="6"/>
    </row>
    <row r="49" spans="4:14" x14ac:dyDescent="0.45">
      <c r="D49" s="12" t="str">
        <f>("№"&amp;B5&amp;" - "&amp;A5)</f>
        <v>№4 - IMGCOF</v>
      </c>
      <c r="E49" s="12"/>
      <c r="F49" s="12"/>
      <c r="G49" s="13"/>
      <c r="H49" s="15"/>
      <c r="I49" s="15"/>
      <c r="J49" s="14"/>
      <c r="K49" s="13"/>
      <c r="L49" s="13"/>
      <c r="M49" s="14"/>
      <c r="N49" s="13"/>
    </row>
    <row r="50" spans="4:14" x14ac:dyDescent="0.45">
      <c r="D50" s="12" t="s">
        <v>8</v>
      </c>
      <c r="E50" s="12" t="s">
        <v>9</v>
      </c>
      <c r="F50" s="12" t="s">
        <v>10</v>
      </c>
      <c r="G50" s="12" t="s">
        <v>346</v>
      </c>
      <c r="H50" s="12" t="s">
        <v>222</v>
      </c>
      <c r="I50" s="12" t="s">
        <v>223</v>
      </c>
      <c r="J50" s="12" t="s">
        <v>224</v>
      </c>
      <c r="K50" s="12" t="s">
        <v>225</v>
      </c>
      <c r="L50" s="12" t="s">
        <v>345</v>
      </c>
      <c r="M50" s="12" t="s">
        <v>344</v>
      </c>
      <c r="N50" s="12"/>
    </row>
    <row r="51" spans="4:14" x14ac:dyDescent="0.45">
      <c r="D51" s="2" t="s">
        <v>447</v>
      </c>
      <c r="E51" s="2" t="s">
        <v>448</v>
      </c>
      <c r="F51" s="1" t="s">
        <v>449</v>
      </c>
      <c r="G51" s="3">
        <f t="shared" ref="G51:G64" si="18">(DATEVALUE(LEFT(E51, 10))-DATEVALUE(LEFT(D51, 10))) * 86400 + (TIMEVALUE(MID(E51, 12, 8)) - TIMEVALUE(MID(D51, 12, 8))) * 86400 + (VALUE(RIGHT(E51, 6)) - VALUE(RIGHT(D51, 6))) / 1000000</f>
        <v>-0.32143299999995645</v>
      </c>
      <c r="H51" s="3"/>
      <c r="I51" s="3"/>
      <c r="J51" s="6"/>
      <c r="K51" s="3" cm="1">
        <f t="array" ref="K51">((LOOKUP(2,1/(G51:G72&lt;&gt;""),G51:G72) - G51)/SUM(H52:H72)) * 60</f>
        <v>-4.6450804696547013E-2</v>
      </c>
      <c r="L51" s="3">
        <f>((FLOOR(MAX(G51:G73), 1)-FLOOR(MIN(G51:G73), 1))/SUM(H52:H73)) * 60</f>
        <v>4.8616110706126446E-2</v>
      </c>
      <c r="M51" s="6">
        <v>0</v>
      </c>
      <c r="N51">
        <f t="shared" ref="N51:N64" si="19">(MID(F51, 2, 7) + MID(F51, 12, 8)) / 2</f>
        <v>0.321432</v>
      </c>
    </row>
    <row r="52" spans="4:14" x14ac:dyDescent="0.45">
      <c r="D52" s="2" t="s">
        <v>499</v>
      </c>
      <c r="E52" s="2" t="s">
        <v>500</v>
      </c>
      <c r="F52" s="1" t="s">
        <v>501</v>
      </c>
      <c r="G52" s="3">
        <f t="shared" si="18"/>
        <v>-0.85201500000655117</v>
      </c>
      <c r="H52" s="3">
        <f t="shared" ref="H52:H64" si="20">((DATEVALUE(LEFT(D52,10))-DATEVALUE(LEFT(D51,10)))*86400+(TIMEVALUE(MID(D52,12,8))-TIMEVALUE(MID(D51,12,8)))*86400+(VALUE(RIGHT(D52,6))-VALUE(RIGHT(D51,6)))/1000000)/ 60</f>
        <v>687.25884858333347</v>
      </c>
      <c r="I52" s="3">
        <f t="shared" ref="I52:I64" si="21">3600 * (G52-G51) / ((DATEVALUE(LEFT(D52, 10))-DATEVALUE(LEFT(D51, 10))) * 86400 + (TIMEVALUE(MID(D52, 12, 8)) - TIMEVALUE(MID(D51, 12, 8))) * 86400 + (VALUE(RIGHT(D52, 6)) - VALUE(RIGHT(D51, 6))) / 1000000)</f>
        <v>-4.6321586205863949E-2</v>
      </c>
      <c r="J52" s="7">
        <f t="shared" ref="J52:J64" si="22">(FLOOR(G52, 1) - FLOOR(G51, 1)) / H52 * 60</f>
        <v>0</v>
      </c>
      <c r="L52" s="3"/>
      <c r="M52" s="7">
        <f t="shared" ref="M52:M64" si="23">M51 + H52</f>
        <v>687.25884858333347</v>
      </c>
      <c r="N52">
        <f t="shared" si="19"/>
        <v>0.85201099999999996</v>
      </c>
    </row>
    <row r="53" spans="4:14" x14ac:dyDescent="0.45">
      <c r="D53" s="3" t="s">
        <v>526</v>
      </c>
      <c r="E53" s="2" t="s">
        <v>527</v>
      </c>
      <c r="F53" s="2" t="s">
        <v>528</v>
      </c>
      <c r="G53" s="3">
        <f t="shared" si="18"/>
        <v>-1.07124600000351</v>
      </c>
      <c r="H53" s="3">
        <f t="shared" si="20"/>
        <v>357.10365184999995</v>
      </c>
      <c r="I53" s="3">
        <f t="shared" si="21"/>
        <v>-3.6834851538686472E-2</v>
      </c>
      <c r="J53" s="7">
        <f t="shared" si="22"/>
        <v>-0.16801844419446815</v>
      </c>
      <c r="K53" t="s">
        <v>340</v>
      </c>
      <c r="M53" s="7">
        <f t="shared" si="23"/>
        <v>1044.3625004333335</v>
      </c>
      <c r="N53">
        <f t="shared" si="19"/>
        <v>7.12425E-2</v>
      </c>
    </row>
    <row r="54" spans="4:14" x14ac:dyDescent="0.45">
      <c r="D54" s="2" t="s">
        <v>551</v>
      </c>
      <c r="E54" s="2" t="s">
        <v>552</v>
      </c>
      <c r="F54" s="1" t="s">
        <v>553</v>
      </c>
      <c r="G54" s="3">
        <f t="shared" si="18"/>
        <v>-1.1646249999987139</v>
      </c>
      <c r="H54" s="3">
        <f t="shared" si="20"/>
        <v>951.60155483333324</v>
      </c>
      <c r="I54" s="3">
        <f t="shared" si="21"/>
        <v>-5.8876952977378423E-3</v>
      </c>
      <c r="J54" s="7">
        <f t="shared" si="22"/>
        <v>0</v>
      </c>
      <c r="K54" s="3">
        <f>(MAX(G51:G72)/(DATEDIF(VALUE(DATE(2000+MID(B14,1,2),MID(B14,4,2),MID(B14,7,2))),VALUE(DATEVALUE(MID(D51,1,10))+TIMEVALUE(MID(D51,12,8))+MID(D51,21,6)/86400000),"d")*1440+(TIMEVALUE(MID(D51,12,8))-TIMEVALUE(RIGHT(B14,8)))*1440+MID(D51,21,6)/86400000+MAX(M51:M72))*60)</f>
        <v>-2.2290007833919994E-3</v>
      </c>
      <c r="L54" s="3"/>
      <c r="M54" s="7">
        <f t="shared" si="23"/>
        <v>1995.9640552666667</v>
      </c>
      <c r="N54">
        <f t="shared" si="19"/>
        <v>0.16462099999999999</v>
      </c>
    </row>
    <row r="55" spans="4:14" x14ac:dyDescent="0.45">
      <c r="D55" s="2" t="s">
        <v>587</v>
      </c>
      <c r="E55" s="2" t="s">
        <v>588</v>
      </c>
      <c r="F55" s="1" t="s">
        <v>589</v>
      </c>
      <c r="G55" s="3">
        <f t="shared" si="18"/>
        <v>-1.3214539999939179</v>
      </c>
      <c r="H55" s="3">
        <f t="shared" si="20"/>
        <v>226.46929306666669</v>
      </c>
      <c r="I55" s="3">
        <f t="shared" si="21"/>
        <v>-4.1549738917329743E-2</v>
      </c>
      <c r="J55" s="7">
        <f t="shared" si="22"/>
        <v>0</v>
      </c>
      <c r="M55" s="7">
        <f t="shared" si="23"/>
        <v>2222.4333483333335</v>
      </c>
      <c r="N55">
        <f t="shared" si="19"/>
        <v>0.32145250000000003</v>
      </c>
    </row>
    <row r="56" spans="4:14" x14ac:dyDescent="0.45">
      <c r="D56" s="2" t="s">
        <v>611</v>
      </c>
      <c r="E56" s="2" t="s">
        <v>612</v>
      </c>
      <c r="F56" s="1" t="s">
        <v>613</v>
      </c>
      <c r="G56" s="3">
        <f t="shared" si="18"/>
        <v>-2.9460939999999818</v>
      </c>
      <c r="H56" s="3">
        <f t="shared" si="20"/>
        <v>600.89373346666662</v>
      </c>
      <c r="I56" s="3">
        <f t="shared" si="21"/>
        <v>-0.16222236074587265</v>
      </c>
      <c r="J56" s="7">
        <f t="shared" si="22"/>
        <v>-9.985126596985619E-2</v>
      </c>
      <c r="K56" s="8" t="s">
        <v>995</v>
      </c>
      <c r="M56" s="7">
        <f t="shared" si="23"/>
        <v>2823.3270818000001</v>
      </c>
      <c r="N56">
        <f t="shared" si="19"/>
        <v>0.96159749999999999</v>
      </c>
    </row>
    <row r="57" spans="4:14" x14ac:dyDescent="0.45">
      <c r="D57" s="2" t="s">
        <v>626</v>
      </c>
      <c r="E57" s="2" t="s">
        <v>627</v>
      </c>
      <c r="F57" s="1" t="s">
        <v>628</v>
      </c>
      <c r="G57" s="3">
        <f t="shared" si="18"/>
        <v>-3.4149890000022243</v>
      </c>
      <c r="H57" s="3">
        <f t="shared" si="20"/>
        <v>627.4744857500001</v>
      </c>
      <c r="I57" s="3">
        <f t="shared" si="21"/>
        <v>-4.4836404728882714E-2</v>
      </c>
      <c r="J57" s="7">
        <f t="shared" si="22"/>
        <v>-9.5621417862566838E-2</v>
      </c>
      <c r="K57">
        <f>_xlfn.STDEV.P(I52:I72)</f>
        <v>3.4409562233571396E-2</v>
      </c>
      <c r="M57" s="7">
        <f t="shared" si="23"/>
        <v>3450.8015675500001</v>
      </c>
      <c r="N57">
        <f t="shared" si="19"/>
        <v>0.43071150000000002</v>
      </c>
    </row>
    <row r="58" spans="4:14" x14ac:dyDescent="0.45">
      <c r="D58" s="3" t="s">
        <v>651</v>
      </c>
      <c r="E58" s="3" t="s">
        <v>652</v>
      </c>
      <c r="F58" s="1" t="s">
        <v>653</v>
      </c>
      <c r="G58" s="3">
        <f t="shared" si="18"/>
        <v>-3.9774630000004256</v>
      </c>
      <c r="H58" s="3">
        <f t="shared" si="20"/>
        <v>861.22603000000004</v>
      </c>
      <c r="I58" s="3">
        <f t="shared" si="21"/>
        <v>-3.9186507170355822E-2</v>
      </c>
      <c r="J58" s="7">
        <f t="shared" si="22"/>
        <v>0</v>
      </c>
      <c r="M58" s="7">
        <f t="shared" si="23"/>
        <v>4312.0275975499999</v>
      </c>
      <c r="N58">
        <f t="shared" si="19"/>
        <v>0.97746100000000002</v>
      </c>
    </row>
    <row r="59" spans="4:14" x14ac:dyDescent="0.45">
      <c r="D59" s="3" t="s">
        <v>690</v>
      </c>
      <c r="E59" s="3" t="s">
        <v>691</v>
      </c>
      <c r="F59" s="1" t="s">
        <v>692</v>
      </c>
      <c r="G59" s="3">
        <f t="shared" si="18"/>
        <v>-4.4775249999943867</v>
      </c>
      <c r="H59" s="3">
        <f t="shared" si="20"/>
        <v>680.65834189999998</v>
      </c>
      <c r="I59" s="3">
        <f t="shared" si="21"/>
        <v>-4.4080441173885897E-2</v>
      </c>
      <c r="J59" s="7">
        <f t="shared" si="22"/>
        <v>-8.8149951754818864E-2</v>
      </c>
      <c r="M59" s="7">
        <f t="shared" si="23"/>
        <v>4992.6859394499998</v>
      </c>
      <c r="N59">
        <f t="shared" si="19"/>
        <v>0.47752050000000001</v>
      </c>
    </row>
    <row r="60" spans="4:14" x14ac:dyDescent="0.45">
      <c r="D60" s="3" t="s">
        <v>707</v>
      </c>
      <c r="E60" s="3" t="s">
        <v>708</v>
      </c>
      <c r="F60" s="1" t="s">
        <v>709</v>
      </c>
      <c r="G60" s="3">
        <f t="shared" si="18"/>
        <v>-4.9769880000039795</v>
      </c>
      <c r="H60" s="3">
        <f t="shared" si="20"/>
        <v>691.10832331666677</v>
      </c>
      <c r="I60" s="3">
        <f t="shared" si="21"/>
        <v>-4.3361914463363058E-2</v>
      </c>
      <c r="J60" s="7">
        <f t="shared" si="22"/>
        <v>0</v>
      </c>
      <c r="M60" s="7">
        <f t="shared" si="23"/>
        <v>5683.7942627666662</v>
      </c>
      <c r="N60">
        <f t="shared" si="19"/>
        <v>0.97698399999999996</v>
      </c>
    </row>
    <row r="61" spans="4:14" x14ac:dyDescent="0.45">
      <c r="D61" s="3" t="s">
        <v>726</v>
      </c>
      <c r="E61" s="3" t="s">
        <v>727</v>
      </c>
      <c r="F61" s="1" t="s">
        <v>728</v>
      </c>
      <c r="G61" s="3">
        <f t="shared" si="18"/>
        <v>-5.789721000000938</v>
      </c>
      <c r="H61" s="3">
        <f t="shared" si="20"/>
        <v>1107.7635441999998</v>
      </c>
      <c r="I61" s="3">
        <f t="shared" si="21"/>
        <v>-4.402020652794969E-2</v>
      </c>
      <c r="J61" s="7">
        <f t="shared" si="22"/>
        <v>-5.4163183392472579E-2</v>
      </c>
      <c r="M61" s="7">
        <f t="shared" si="23"/>
        <v>6791.5578069666662</v>
      </c>
      <c r="N61">
        <f t="shared" si="19"/>
        <v>0.80515650000000005</v>
      </c>
    </row>
    <row r="62" spans="4:14" x14ac:dyDescent="0.45">
      <c r="D62" s="3" t="s">
        <v>747</v>
      </c>
      <c r="E62" s="3" t="s">
        <v>748</v>
      </c>
      <c r="F62" s="1" t="s">
        <v>749</v>
      </c>
      <c r="G62" s="3">
        <f t="shared" si="18"/>
        <v>-6.0712479999990956</v>
      </c>
      <c r="H62" s="3">
        <f t="shared" si="20"/>
        <v>462.88802826666654</v>
      </c>
      <c r="I62" s="3">
        <f t="shared" si="21"/>
        <v>-3.6491805724900517E-2</v>
      </c>
      <c r="J62" s="7">
        <f t="shared" si="22"/>
        <v>-0.12962098031499406</v>
      </c>
      <c r="M62" s="7">
        <f t="shared" si="23"/>
        <v>7254.4458352333331</v>
      </c>
      <c r="N62">
        <f t="shared" si="19"/>
        <v>8.6832500000000007E-2</v>
      </c>
    </row>
    <row r="63" spans="4:14" x14ac:dyDescent="0.45">
      <c r="D63" s="3" t="s">
        <v>771</v>
      </c>
      <c r="E63" s="3" t="s">
        <v>772</v>
      </c>
      <c r="F63" s="1" t="s">
        <v>773</v>
      </c>
      <c r="G63" s="3">
        <f t="shared" si="18"/>
        <v>-6.5396599999978964</v>
      </c>
      <c r="H63" s="3">
        <f t="shared" si="20"/>
        <v>619.99114150000014</v>
      </c>
      <c r="I63" s="3">
        <f t="shared" si="21"/>
        <v>-4.5330841230943691E-2</v>
      </c>
      <c r="J63" s="7">
        <f t="shared" si="22"/>
        <v>0</v>
      </c>
      <c r="M63" s="7">
        <f t="shared" si="23"/>
        <v>7874.4369767333337</v>
      </c>
      <c r="N63">
        <f t="shared" si="19"/>
        <v>0.53965649999999998</v>
      </c>
    </row>
    <row r="64" spans="4:14" x14ac:dyDescent="0.45">
      <c r="D64" s="3" t="s">
        <v>801</v>
      </c>
      <c r="E64" s="3" t="s">
        <v>802</v>
      </c>
      <c r="F64" s="1" t="s">
        <v>803</v>
      </c>
      <c r="G64" s="3">
        <f t="shared" si="18"/>
        <v>-7.0096610000002526</v>
      </c>
      <c r="H64" s="3">
        <f t="shared" si="20"/>
        <v>764.6745009166666</v>
      </c>
      <c r="I64" s="3">
        <f t="shared" si="21"/>
        <v>-3.6878514931956104E-2</v>
      </c>
      <c r="J64" s="7">
        <f t="shared" si="22"/>
        <v>-7.8464758440452725E-2</v>
      </c>
      <c r="M64" s="7">
        <f t="shared" si="23"/>
        <v>8639.1114776499999</v>
      </c>
      <c r="N64">
        <f t="shared" si="19"/>
        <v>2.4302999999999998E-2</v>
      </c>
    </row>
    <row r="65" spans="4:14" x14ac:dyDescent="0.45">
      <c r="D65" s="3"/>
      <c r="E65" s="3"/>
      <c r="F65" s="1"/>
      <c r="G65" s="3"/>
      <c r="H65" s="3"/>
      <c r="I65" s="3"/>
      <c r="J65" s="7"/>
      <c r="K65" s="6"/>
      <c r="M65" s="7"/>
    </row>
    <row r="66" spans="4:14" x14ac:dyDescent="0.45">
      <c r="D66" s="3"/>
      <c r="E66" s="3"/>
      <c r="F66" s="1"/>
      <c r="G66" s="3"/>
      <c r="H66" s="3"/>
      <c r="I66" s="3"/>
      <c r="J66" s="7"/>
      <c r="K66" s="6"/>
      <c r="M66" s="7"/>
    </row>
    <row r="67" spans="4:14" x14ac:dyDescent="0.45">
      <c r="D67" s="3"/>
      <c r="E67" s="3"/>
      <c r="F67" s="1"/>
      <c r="G67" s="3"/>
      <c r="H67" s="3"/>
      <c r="I67" s="3"/>
      <c r="J67" s="7"/>
      <c r="K67" s="6"/>
      <c r="M67" s="7"/>
    </row>
    <row r="68" spans="4:14" x14ac:dyDescent="0.45">
      <c r="D68" s="3"/>
      <c r="E68" s="3"/>
      <c r="J68" s="6"/>
      <c r="M68" s="6"/>
    </row>
    <row r="69" spans="4:14" x14ac:dyDescent="0.45">
      <c r="D69" s="3"/>
      <c r="E69" s="3"/>
      <c r="J69" s="6"/>
      <c r="M69" s="6"/>
    </row>
    <row r="70" spans="4:14" x14ac:dyDescent="0.45">
      <c r="D70" s="3"/>
      <c r="E70" s="3"/>
      <c r="J70" s="6"/>
      <c r="M70" s="6"/>
    </row>
    <row r="71" spans="4:14" x14ac:dyDescent="0.45">
      <c r="D71" s="3"/>
      <c r="E71" s="3"/>
      <c r="J71" s="6"/>
      <c r="M71" s="6"/>
    </row>
    <row r="72" spans="4:14" x14ac:dyDescent="0.45">
      <c r="D72" s="3"/>
      <c r="E72" s="3"/>
      <c r="J72" s="6"/>
      <c r="M72" s="6"/>
    </row>
    <row r="73" spans="4:14" x14ac:dyDescent="0.45">
      <c r="D73" s="12" t="str">
        <f>("№"&amp;B6&amp;" - "&amp;A6)</f>
        <v>№5 - ERR15</v>
      </c>
      <c r="E73" s="12"/>
      <c r="F73" s="12"/>
      <c r="G73" s="13"/>
      <c r="H73" s="13"/>
      <c r="I73" s="13"/>
      <c r="J73" s="14"/>
      <c r="K73" s="13"/>
      <c r="L73" s="13"/>
      <c r="M73" s="14"/>
      <c r="N73" s="13"/>
    </row>
    <row r="74" spans="4:14" x14ac:dyDescent="0.45">
      <c r="D74" s="12" t="s">
        <v>8</v>
      </c>
      <c r="E74" s="12" t="s">
        <v>9</v>
      </c>
      <c r="F74" s="12" t="s">
        <v>10</v>
      </c>
      <c r="G74" s="12" t="s">
        <v>346</v>
      </c>
      <c r="H74" s="12" t="s">
        <v>222</v>
      </c>
      <c r="I74" s="12" t="s">
        <v>223</v>
      </c>
      <c r="J74" s="12" t="s">
        <v>224</v>
      </c>
      <c r="K74" s="12" t="s">
        <v>225</v>
      </c>
      <c r="L74" s="12" t="s">
        <v>345</v>
      </c>
      <c r="M74" s="12" t="s">
        <v>344</v>
      </c>
      <c r="N74" s="12"/>
    </row>
    <row r="75" spans="4:14" x14ac:dyDescent="0.45">
      <c r="D75" s="2" t="s">
        <v>456</v>
      </c>
      <c r="E75" s="2" t="s">
        <v>457</v>
      </c>
      <c r="F75" s="1" t="s">
        <v>458</v>
      </c>
      <c r="G75" s="3">
        <f t="shared" ref="G75:G88" si="24">(DATEVALUE(LEFT(E75, 10))-DATEVALUE(LEFT(D75, 10))) * 86400 + (TIMEVALUE(MID(E75, 12, 8)) - TIMEVALUE(MID(D75, 12, 8))) * 86400 + (VALUE(RIGHT(E75, 6)) - VALUE(RIGHT(D75, 6))) / 1000000</f>
        <v>-0.78960299999995653</v>
      </c>
      <c r="H75" s="3"/>
      <c r="I75" s="3"/>
      <c r="J75" s="6"/>
      <c r="K75" s="3" cm="1">
        <f t="array" ref="K75">((LOOKUP(2,1/(G75:G96&lt;&gt;""),G75:G96) - G75)/SUM(H76:H97)) * 60</f>
        <v>-8.2762451336135835E-3</v>
      </c>
      <c r="L75" s="3">
        <f>((FLOOR(MAX(G75:G97), 1)-FLOOR(MIN(G75:G97), 1))/SUM(H76:H97)) * 60</f>
        <v>1.3937061336769594E-2</v>
      </c>
      <c r="M75" s="6">
        <v>0</v>
      </c>
      <c r="N75">
        <f t="shared" ref="N75:N88" si="25">(MID(F75, 2, 7) + MID(F75, 12, 8)) / 2</f>
        <v>0.78959899999999994</v>
      </c>
    </row>
    <row r="76" spans="4:14" x14ac:dyDescent="0.45">
      <c r="D76" s="2" t="s">
        <v>486</v>
      </c>
      <c r="E76" s="2" t="s">
        <v>487</v>
      </c>
      <c r="F76" s="1" t="s">
        <v>488</v>
      </c>
      <c r="G76" s="3">
        <f t="shared" si="24"/>
        <v>-0.85228499999695884</v>
      </c>
      <c r="H76" s="3">
        <f t="shared" ref="H76:H88" si="26">((DATEVALUE(LEFT(D76,10))-DATEVALUE(LEFT(D75,10)))*86400+(TIMEVALUE(MID(D76,12,8))-TIMEVALUE(MID(D75,12,8)))*86400+(VALUE(RIGHT(D76,6))-VALUE(RIGHT(D75,6)))/1000000)/ 60</f>
        <v>627.95104430000004</v>
      </c>
      <c r="I76" s="3">
        <f t="shared" ref="I76:I88" si="27">3600 * (G76-G75) / ((DATEVALUE(LEFT(D76, 10))-DATEVALUE(LEFT(D75, 10))) * 86400 + (TIMEVALUE(MID(D76, 12, 8)) - TIMEVALUE(MID(D75, 12, 8))) * 86400 + (VALUE(RIGHT(D76, 6)) - VALUE(RIGHT(D75, 6))) / 1000000)</f>
        <v>-5.9891930015222332E-3</v>
      </c>
      <c r="J76" s="7">
        <f t="shared" ref="J76:J88" si="28">(FLOOR(G76, 1) - FLOOR(G75, 1)) / H76 * 60</f>
        <v>0</v>
      </c>
      <c r="L76" s="3"/>
      <c r="M76" s="7">
        <f t="shared" ref="M76:M88" si="29">M75 + H76</f>
        <v>627.95104430000004</v>
      </c>
      <c r="N76">
        <f t="shared" si="25"/>
        <v>0.86795800000000001</v>
      </c>
    </row>
    <row r="77" spans="4:14" x14ac:dyDescent="0.45">
      <c r="D77" s="2" t="s">
        <v>529</v>
      </c>
      <c r="E77" s="2" t="s">
        <v>530</v>
      </c>
      <c r="F77" s="1" t="s">
        <v>531</v>
      </c>
      <c r="G77" s="3">
        <f t="shared" si="24"/>
        <v>-0.85177699999695888</v>
      </c>
      <c r="H77" s="3">
        <f t="shared" si="26"/>
        <v>404.06665346666665</v>
      </c>
      <c r="I77" s="3">
        <f t="shared" si="27"/>
        <v>7.5433099312937032E-5</v>
      </c>
      <c r="J77" s="7">
        <f t="shared" si="28"/>
        <v>0</v>
      </c>
      <c r="K77" t="s">
        <v>340</v>
      </c>
      <c r="M77" s="7">
        <f t="shared" si="29"/>
        <v>1032.0176977666667</v>
      </c>
      <c r="N77">
        <f t="shared" si="25"/>
        <v>0.85177550000000002</v>
      </c>
    </row>
    <row r="78" spans="4:14" x14ac:dyDescent="0.45">
      <c r="D78" s="2" t="s">
        <v>554</v>
      </c>
      <c r="E78" s="2" t="s">
        <v>555</v>
      </c>
      <c r="F78" s="1" t="s">
        <v>556</v>
      </c>
      <c r="G78" s="3">
        <f t="shared" si="24"/>
        <v>-0.32161000000175499</v>
      </c>
      <c r="H78" s="3">
        <f t="shared" si="26"/>
        <v>950.87450538333349</v>
      </c>
      <c r="I78" s="3">
        <f t="shared" si="27"/>
        <v>3.3453436620312381E-2</v>
      </c>
      <c r="J78" s="7">
        <f t="shared" si="28"/>
        <v>0</v>
      </c>
      <c r="K78" s="3">
        <f>(MAX(G75:G96) / (DATEDIF(VALUE(DATE(2000 + MID(B15, 1, 2), MID(B15, 4, 2), MID(B15, 7, 2))), VALUE(DATEVALUE(MID(D75, 1, 10)) + TIMEVALUE(MID(D75, 12, 8)) + MID(D75, 21, 6) / 86400000), "d") * 1440 + (TIMEVALUE(MID(D75, 12, 8)) - TIMEVALUE(RIGHT(B15, 8))) * 1440 + MID(D75, 21, 6) / 86400000 + MAX(M75:M96))) * 60</f>
        <v>-2.2406827019892297E-3</v>
      </c>
      <c r="L78" s="3"/>
      <c r="M78" s="7">
        <f t="shared" si="29"/>
        <v>1982.8922031500001</v>
      </c>
      <c r="N78">
        <f t="shared" si="25"/>
        <v>0.32160749999999999</v>
      </c>
    </row>
    <row r="79" spans="4:14" x14ac:dyDescent="0.45">
      <c r="D79" s="2" t="s">
        <v>593</v>
      </c>
      <c r="E79" s="2" t="s">
        <v>594</v>
      </c>
      <c r="F79" s="1" t="s">
        <v>595</v>
      </c>
      <c r="G79" s="3">
        <f t="shared" si="24"/>
        <v>-0.35261399999695886</v>
      </c>
      <c r="H79" s="3">
        <f t="shared" si="26"/>
        <v>227.51717389999993</v>
      </c>
      <c r="I79" s="3">
        <f t="shared" si="27"/>
        <v>-8.1762618962991293E-3</v>
      </c>
      <c r="J79" s="7">
        <f t="shared" si="28"/>
        <v>0</v>
      </c>
      <c r="M79" s="7">
        <f t="shared" si="29"/>
        <v>2210.4093770499999</v>
      </c>
      <c r="N79">
        <f t="shared" si="25"/>
        <v>0.35261399999999998</v>
      </c>
    </row>
    <row r="80" spans="4:14" x14ac:dyDescent="0.45">
      <c r="D80" s="2" t="s">
        <v>614</v>
      </c>
      <c r="E80" s="2" t="s">
        <v>615</v>
      </c>
      <c r="F80" s="1" t="s">
        <v>616</v>
      </c>
      <c r="G80" s="3">
        <f t="shared" si="24"/>
        <v>-1.5706829999999881</v>
      </c>
      <c r="H80" s="3">
        <f t="shared" si="26"/>
        <v>598.27030705000004</v>
      </c>
      <c r="I80" s="3">
        <f t="shared" si="27"/>
        <v>-0.12215906278309378</v>
      </c>
      <c r="J80" s="7">
        <f t="shared" si="28"/>
        <v>-0.10028911562710321</v>
      </c>
      <c r="K80" s="8" t="s">
        <v>995</v>
      </c>
      <c r="M80" s="7">
        <f t="shared" si="29"/>
        <v>2808.6796841</v>
      </c>
      <c r="N80">
        <f t="shared" si="25"/>
        <v>0.58644549999999995</v>
      </c>
    </row>
    <row r="81" spans="4:14" x14ac:dyDescent="0.45">
      <c r="D81" s="2" t="s">
        <v>642</v>
      </c>
      <c r="E81" s="2" t="s">
        <v>643</v>
      </c>
      <c r="F81" s="1" t="s">
        <v>644</v>
      </c>
      <c r="G81" s="3">
        <f t="shared" si="24"/>
        <v>-1.6647369999987141</v>
      </c>
      <c r="H81" s="3">
        <f t="shared" si="26"/>
        <v>672.71822910000003</v>
      </c>
      <c r="I81" s="3">
        <f t="shared" si="27"/>
        <v>-8.3887127712792935E-3</v>
      </c>
      <c r="J81" s="7">
        <f t="shared" si="28"/>
        <v>0</v>
      </c>
      <c r="K81">
        <f>_xlfn.STDEV.P(I76:I96)</f>
        <v>3.4133628931846995E-2</v>
      </c>
      <c r="M81" s="7">
        <f t="shared" si="29"/>
        <v>3481.3979131999999</v>
      </c>
      <c r="N81">
        <f t="shared" si="25"/>
        <v>0.68044450000000001</v>
      </c>
    </row>
    <row r="82" spans="4:14" x14ac:dyDescent="0.45">
      <c r="D82" s="3" t="s">
        <v>666</v>
      </c>
      <c r="E82" s="3" t="s">
        <v>667</v>
      </c>
      <c r="F82" s="1" t="s">
        <v>668</v>
      </c>
      <c r="G82" s="3">
        <f t="shared" si="24"/>
        <v>-1.6649419999999129</v>
      </c>
      <c r="H82" s="3">
        <f t="shared" si="26"/>
        <v>825.98333964999995</v>
      </c>
      <c r="I82" s="3">
        <f t="shared" si="27"/>
        <v>-1.4891341606407876E-5</v>
      </c>
      <c r="J82" s="7">
        <f t="shared" si="28"/>
        <v>0</v>
      </c>
      <c r="M82" s="7">
        <f t="shared" si="29"/>
        <v>4307.3812528500002</v>
      </c>
      <c r="N82">
        <f t="shared" si="25"/>
        <v>0.66493849999999999</v>
      </c>
    </row>
    <row r="83" spans="4:14" x14ac:dyDescent="0.45">
      <c r="D83" s="3" t="s">
        <v>669</v>
      </c>
      <c r="E83" s="3" t="s">
        <v>670</v>
      </c>
      <c r="F83" s="1" t="s">
        <v>671</v>
      </c>
      <c r="G83" s="3">
        <f t="shared" si="24"/>
        <v>-1.8208830000035101</v>
      </c>
      <c r="H83" s="3">
        <f t="shared" si="26"/>
        <v>636.05260148333343</v>
      </c>
      <c r="I83" s="3">
        <f t="shared" si="27"/>
        <v>-1.47101984621959E-2</v>
      </c>
      <c r="J83" s="7">
        <f t="shared" si="28"/>
        <v>0</v>
      </c>
      <c r="M83" s="7">
        <f t="shared" si="29"/>
        <v>4943.4338543333333</v>
      </c>
      <c r="N83">
        <f t="shared" si="25"/>
        <v>0.82087949999999998</v>
      </c>
    </row>
    <row r="84" spans="4:14" x14ac:dyDescent="0.45">
      <c r="D84" s="3" t="s">
        <v>704</v>
      </c>
      <c r="E84" s="3" t="s">
        <v>705</v>
      </c>
      <c r="F84" s="1" t="s">
        <v>706</v>
      </c>
      <c r="G84" s="3">
        <f t="shared" si="24"/>
        <v>-1.85198000000351</v>
      </c>
      <c r="H84" s="3">
        <f t="shared" si="26"/>
        <v>721.66717838333329</v>
      </c>
      <c r="I84" s="3">
        <f t="shared" si="27"/>
        <v>-2.5854300374028019E-3</v>
      </c>
      <c r="J84" s="7">
        <f t="shared" si="28"/>
        <v>0</v>
      </c>
      <c r="M84" s="7">
        <f t="shared" si="29"/>
        <v>5665.1010327166669</v>
      </c>
      <c r="N84">
        <f t="shared" si="25"/>
        <v>0.86798149999999996</v>
      </c>
    </row>
    <row r="85" spans="4:14" x14ac:dyDescent="0.45">
      <c r="D85" s="3" t="s">
        <v>729</v>
      </c>
      <c r="E85" s="3" t="s">
        <v>730</v>
      </c>
      <c r="F85" s="1" t="s">
        <v>731</v>
      </c>
      <c r="G85" s="3">
        <f t="shared" si="24"/>
        <v>-1.9770090000035101</v>
      </c>
      <c r="H85" s="3">
        <f t="shared" si="26"/>
        <v>1111.8520823333333</v>
      </c>
      <c r="I85" s="3">
        <f t="shared" si="27"/>
        <v>-6.7470665560627899E-3</v>
      </c>
      <c r="J85" s="7">
        <f t="shared" si="28"/>
        <v>0</v>
      </c>
      <c r="M85" s="7">
        <f t="shared" si="29"/>
        <v>6776.9531150500006</v>
      </c>
      <c r="N85">
        <f t="shared" si="25"/>
        <v>0.97700900000000002</v>
      </c>
    </row>
    <row r="86" spans="4:14" x14ac:dyDescent="0.45">
      <c r="D86" s="3" t="s">
        <v>755</v>
      </c>
      <c r="E86" s="3" t="s">
        <v>756</v>
      </c>
      <c r="F86" s="1" t="s">
        <v>757</v>
      </c>
      <c r="G86" s="3">
        <f t="shared" si="24"/>
        <v>-1.945582999999913</v>
      </c>
      <c r="H86" s="3">
        <f t="shared" si="26"/>
        <v>469.46614711666666</v>
      </c>
      <c r="I86" s="3">
        <f t="shared" si="27"/>
        <v>4.0163918352716611E-3</v>
      </c>
      <c r="J86" s="7">
        <f t="shared" si="28"/>
        <v>0</v>
      </c>
      <c r="M86" s="7">
        <f t="shared" si="29"/>
        <v>7246.4192621666671</v>
      </c>
      <c r="N86">
        <f t="shared" si="25"/>
        <v>0.96185999999999994</v>
      </c>
    </row>
    <row r="87" spans="4:14" x14ac:dyDescent="0.45">
      <c r="D87" s="3" t="s">
        <v>783</v>
      </c>
      <c r="E87" s="3" t="s">
        <v>784</v>
      </c>
      <c r="F87" s="1" t="s">
        <v>785</v>
      </c>
      <c r="G87" s="3">
        <f t="shared" si="24"/>
        <v>-2.0084570000004689</v>
      </c>
      <c r="H87" s="3">
        <f t="shared" si="26"/>
        <v>624.93438906666665</v>
      </c>
      <c r="I87" s="3">
        <f t="shared" si="27"/>
        <v>-6.0365377006495894E-3</v>
      </c>
      <c r="J87" s="7">
        <f t="shared" si="28"/>
        <v>-9.6010078897417389E-2</v>
      </c>
      <c r="M87" s="7">
        <f t="shared" si="29"/>
        <v>7871.3536512333339</v>
      </c>
      <c r="N87">
        <f t="shared" si="25"/>
        <v>8.4564999999999987E-3</v>
      </c>
    </row>
    <row r="88" spans="4:14" x14ac:dyDescent="0.45">
      <c r="D88" s="3" t="s">
        <v>792</v>
      </c>
      <c r="E88" s="3" t="s">
        <v>793</v>
      </c>
      <c r="F88" s="1" t="s">
        <v>794</v>
      </c>
      <c r="G88" s="3">
        <f t="shared" si="24"/>
        <v>-1.977262999999913</v>
      </c>
      <c r="H88" s="3">
        <f t="shared" si="26"/>
        <v>738.78281156666674</v>
      </c>
      <c r="I88" s="3">
        <f t="shared" si="27"/>
        <v>2.5334103213153361E-3</v>
      </c>
      <c r="J88" s="7">
        <f t="shared" si="28"/>
        <v>8.1214666963845134E-2</v>
      </c>
      <c r="M88" s="7">
        <f t="shared" si="29"/>
        <v>8610.136462800001</v>
      </c>
      <c r="N88">
        <f t="shared" si="25"/>
        <v>0.99250949999999993</v>
      </c>
    </row>
    <row r="89" spans="4:14" x14ac:dyDescent="0.45">
      <c r="D89" s="3"/>
      <c r="E89" s="3"/>
      <c r="F89" s="1"/>
      <c r="G89" s="3"/>
      <c r="H89" s="3"/>
      <c r="I89" s="3"/>
      <c r="J89" s="7"/>
      <c r="K89" s="6"/>
      <c r="M89" s="7"/>
    </row>
    <row r="90" spans="4:14" x14ac:dyDescent="0.45">
      <c r="D90" s="3"/>
      <c r="E90" s="3"/>
      <c r="F90" s="1"/>
      <c r="G90" s="3"/>
      <c r="H90" s="3"/>
      <c r="I90" s="3"/>
      <c r="J90" s="7"/>
      <c r="K90" s="6"/>
      <c r="M90" s="7"/>
    </row>
    <row r="91" spans="4:14" x14ac:dyDescent="0.45">
      <c r="D91" s="3"/>
      <c r="E91" s="3"/>
      <c r="F91" s="1"/>
      <c r="G91" s="3"/>
      <c r="H91" s="3"/>
      <c r="I91" s="3"/>
      <c r="J91" s="7"/>
      <c r="K91" s="6"/>
      <c r="M91" s="7"/>
    </row>
    <row r="92" spans="4:14" x14ac:dyDescent="0.45">
      <c r="D92" s="3"/>
      <c r="E92" s="3"/>
      <c r="J92" s="6"/>
      <c r="M92" s="6"/>
    </row>
    <row r="93" spans="4:14" x14ac:dyDescent="0.45">
      <c r="D93" s="3"/>
      <c r="E93" s="3"/>
      <c r="J93" s="6"/>
      <c r="M93" s="6"/>
    </row>
    <row r="94" spans="4:14" x14ac:dyDescent="0.45">
      <c r="D94" s="3"/>
      <c r="E94" s="3"/>
      <c r="J94" s="6"/>
      <c r="M94" s="6"/>
    </row>
    <row r="95" spans="4:14" x14ac:dyDescent="0.45">
      <c r="D95" s="3"/>
      <c r="E95" s="3"/>
      <c r="J95" s="6"/>
      <c r="M95" s="6"/>
    </row>
    <row r="96" spans="4:14" x14ac:dyDescent="0.45">
      <c r="D96" s="3"/>
      <c r="E96" s="3"/>
      <c r="J96" s="6"/>
      <c r="M96" s="6"/>
    </row>
    <row r="97" spans="4:14" x14ac:dyDescent="0.45">
      <c r="D97" s="12" t="str">
        <f>("№"&amp;B7&amp;" - "&amp;A7)</f>
        <v>№6 - IMG COR LSU</v>
      </c>
      <c r="E97" s="12"/>
      <c r="F97" s="12"/>
      <c r="G97" s="13"/>
      <c r="H97" s="13"/>
      <c r="I97" s="13"/>
      <c r="J97" s="14"/>
      <c r="K97" s="13"/>
      <c r="L97" s="13"/>
      <c r="M97" s="14"/>
      <c r="N97" s="13"/>
    </row>
    <row r="98" spans="4:14" x14ac:dyDescent="0.45">
      <c r="D98" s="12" t="s">
        <v>8</v>
      </c>
      <c r="E98" s="12" t="s">
        <v>9</v>
      </c>
      <c r="F98" s="12" t="s">
        <v>10</v>
      </c>
      <c r="G98" s="12" t="s">
        <v>346</v>
      </c>
      <c r="H98" s="12" t="s">
        <v>222</v>
      </c>
      <c r="I98" s="12" t="s">
        <v>223</v>
      </c>
      <c r="J98" s="12" t="s">
        <v>224</v>
      </c>
      <c r="K98" s="12" t="s">
        <v>225</v>
      </c>
      <c r="L98" s="12" t="s">
        <v>345</v>
      </c>
      <c r="M98" s="12" t="s">
        <v>344</v>
      </c>
      <c r="N98" s="12"/>
    </row>
    <row r="99" spans="4:14" x14ac:dyDescent="0.45">
      <c r="D99" s="2" t="s">
        <v>460</v>
      </c>
      <c r="E99" s="2" t="s">
        <v>461</v>
      </c>
      <c r="F99" s="1" t="s">
        <v>462</v>
      </c>
      <c r="G99" s="3">
        <f t="shared" ref="G99:G112" si="30">(DATEVALUE(LEFT(E99, 10))-DATEVALUE(LEFT(D99, 10))) * 86400 + (TIMEVALUE(MID(E99, 12, 8)) - TIMEVALUE(MID(D99, 12, 8))) * 86400 + (VALUE(RIGHT(E99, 6)) - VALUE(RIGHT(D99, 6))) / 1000000</f>
        <v>-0.38371200000055605</v>
      </c>
      <c r="H99" s="3"/>
      <c r="I99" s="3"/>
      <c r="J99" s="6"/>
      <c r="K99" s="3" cm="1">
        <f t="array" ref="K99">((LOOKUP(2,1/(G99:G120&lt;&gt;""),G99:G120) - G99)/SUM(H100:H121)) * 60</f>
        <v>7.2696315881055254E-2</v>
      </c>
      <c r="L99" s="3">
        <f>((FLOOR(MAX(G99:G121), 1)-FLOOR(MIN(G99:G121), 1))/SUM(H100:H121)) * 60</f>
        <v>7.6612554661578805E-2</v>
      </c>
      <c r="M99" s="6">
        <v>0</v>
      </c>
      <c r="N99">
        <f t="shared" ref="N99:N112" si="31">(MID(F99, 2, 7) + MID(F99, 12, 8)) / 2</f>
        <v>0.38370949999999998</v>
      </c>
    </row>
    <row r="100" spans="4:14" x14ac:dyDescent="0.45">
      <c r="D100" s="2" t="s">
        <v>496</v>
      </c>
      <c r="E100" s="2" t="s">
        <v>497</v>
      </c>
      <c r="F100" s="1" t="s">
        <v>498</v>
      </c>
      <c r="G100" s="3">
        <f t="shared" si="30"/>
        <v>0.46064899999999998</v>
      </c>
      <c r="H100" s="3">
        <f t="shared" ref="H100:H112" si="32">((DATEVALUE(LEFT(D100,10))-DATEVALUE(LEFT(D99,10)))*86400+(TIMEVALUE(MID(D100,12,8))-TIMEVALUE(MID(D99,12,8)))*86400+(VALUE(RIGHT(D100,6))-VALUE(RIGHT(D99,6)))/1000000)/ 60</f>
        <v>662.11925403333339</v>
      </c>
      <c r="I100" s="3">
        <f t="shared" ref="I100:I112" si="33">3600 * (G100-G99) / ((DATEVALUE(LEFT(D100, 10))-DATEVALUE(LEFT(D99, 10))) * 86400 + (TIMEVALUE(MID(D100, 12, 8)) - TIMEVALUE(MID(D99, 12, 8))) * 86400 + (VALUE(RIGHT(D100, 6)) - VALUE(RIGHT(D99, 6))) / 1000000)</f>
        <v>7.6514403850099916E-2</v>
      </c>
      <c r="J100" s="7">
        <f t="shared" ref="J100:J112" si="34">(FLOOR(G100, 1) - FLOOR(G99, 1)) / H100 * 60</f>
        <v>9.0618116954773509E-2</v>
      </c>
      <c r="L100" s="3"/>
      <c r="M100" s="7">
        <f t="shared" ref="M100:M112" si="35">M99 + H100</f>
        <v>662.11925403333339</v>
      </c>
      <c r="N100">
        <f t="shared" si="31"/>
        <v>0.53934799999999994</v>
      </c>
    </row>
    <row r="101" spans="4:14" x14ac:dyDescent="0.45">
      <c r="D101" s="2" t="s">
        <v>533</v>
      </c>
      <c r="E101" s="2" t="s">
        <v>534</v>
      </c>
      <c r="F101" s="1" t="s">
        <v>532</v>
      </c>
      <c r="G101" s="3">
        <f t="shared" si="30"/>
        <v>0.99110699999999996</v>
      </c>
      <c r="H101" s="3">
        <f t="shared" si="32"/>
        <v>368.0411506333333</v>
      </c>
      <c r="I101" s="3">
        <f t="shared" si="33"/>
        <v>8.6478047210836531E-2</v>
      </c>
      <c r="J101" s="7">
        <f t="shared" si="34"/>
        <v>0</v>
      </c>
      <c r="K101" t="s">
        <v>340</v>
      </c>
      <c r="M101" s="7">
        <f t="shared" si="35"/>
        <v>1030.1604046666666</v>
      </c>
      <c r="N101">
        <f t="shared" si="31"/>
        <v>8.8909999999999996E-3</v>
      </c>
    </row>
    <row r="102" spans="4:14" x14ac:dyDescent="0.45">
      <c r="D102" s="2" t="s">
        <v>560</v>
      </c>
      <c r="E102" s="2" t="s">
        <v>561</v>
      </c>
      <c r="F102" s="1" t="s">
        <v>562</v>
      </c>
      <c r="G102" s="3">
        <f t="shared" si="30"/>
        <v>2.8336079999987138</v>
      </c>
      <c r="H102" s="3">
        <f t="shared" si="32"/>
        <v>955.36930128333336</v>
      </c>
      <c r="I102" s="3">
        <f t="shared" si="33"/>
        <v>0.11571447800491662</v>
      </c>
      <c r="J102" s="7">
        <f t="shared" si="34"/>
        <v>0.12560587810264134</v>
      </c>
      <c r="K102" s="3">
        <f>(MAX(G99:G120) / (DATEDIF(VALUE(DATE(2000 + MID(B16, 1, 2), MID(B16, 4, 2), MID(B16, 7, 2))), VALUE(DATEVALUE(MID(D99, 1, 10)) + TIMEVALUE(MID(D99, 12, 8)) + MID(D99, 21, 6) / 86400000), "d") * 1440 + (TIMEVALUE(MID(D99, 12, 8)) - TIMEVALUE(RIGHT(B16, 8))) * 1440 + MID(D99, 21, 6) / 86400000 + MAX(M99:M120))) * 60</f>
        <v>7.0010402514976713E-2</v>
      </c>
      <c r="L102" s="3"/>
      <c r="M102" s="7">
        <f t="shared" si="35"/>
        <v>1985.5297059499999</v>
      </c>
      <c r="N102">
        <f t="shared" si="31"/>
        <v>0.18034349999999999</v>
      </c>
    </row>
    <row r="103" spans="4:14" x14ac:dyDescent="0.45">
      <c r="D103" s="2" t="s">
        <v>584</v>
      </c>
      <c r="E103" s="2" t="s">
        <v>585</v>
      </c>
      <c r="F103" s="1" t="s">
        <v>586</v>
      </c>
      <c r="G103" s="3">
        <f t="shared" si="30"/>
        <v>3.0847900000004689</v>
      </c>
      <c r="H103" s="3">
        <f t="shared" si="32"/>
        <v>212.51247829999997</v>
      </c>
      <c r="I103" s="3">
        <f t="shared" si="33"/>
        <v>7.0917812077039372E-2</v>
      </c>
      <c r="J103" s="7">
        <f t="shared" si="34"/>
        <v>0.28233636198670226</v>
      </c>
      <c r="M103" s="7">
        <f t="shared" si="35"/>
        <v>2198.04218425</v>
      </c>
      <c r="N103">
        <f t="shared" si="31"/>
        <v>0.93035599999999996</v>
      </c>
    </row>
    <row r="104" spans="4:14" x14ac:dyDescent="0.45">
      <c r="D104" s="2" t="s">
        <v>596</v>
      </c>
      <c r="E104" s="2" t="s">
        <v>597</v>
      </c>
      <c r="F104" s="1" t="s">
        <v>598</v>
      </c>
      <c r="G104" s="3">
        <f t="shared" si="30"/>
        <v>2.615997999993918</v>
      </c>
      <c r="H104" s="3">
        <f t="shared" si="32"/>
        <v>587.69115853333346</v>
      </c>
      <c r="I104" s="3">
        <f t="shared" si="33"/>
        <v>-4.7861056937778777E-2</v>
      </c>
      <c r="J104" s="7">
        <f t="shared" si="34"/>
        <v>-0.10209444047063512</v>
      </c>
      <c r="K104" s="8" t="s">
        <v>995</v>
      </c>
      <c r="M104" s="7">
        <f t="shared" si="35"/>
        <v>2785.7333427833337</v>
      </c>
      <c r="N104">
        <f t="shared" si="31"/>
        <v>0.38400049999999997</v>
      </c>
    </row>
    <row r="105" spans="4:14" x14ac:dyDescent="0.45">
      <c r="D105" s="2" t="s">
        <v>639</v>
      </c>
      <c r="E105" s="2" t="s">
        <v>640</v>
      </c>
      <c r="F105" s="1" t="s">
        <v>641</v>
      </c>
      <c r="G105" s="3">
        <f t="shared" si="30"/>
        <v>3.4286580000004689</v>
      </c>
      <c r="H105" s="3">
        <f t="shared" si="32"/>
        <v>688.55311026666664</v>
      </c>
      <c r="I105" s="3">
        <f t="shared" si="33"/>
        <v>7.0814581000889193E-2</v>
      </c>
      <c r="J105" s="7">
        <f t="shared" si="34"/>
        <v>8.7139247656237984E-2</v>
      </c>
      <c r="K105">
        <f>_xlfn.STDEV.P(I100:I120)</f>
        <v>3.6002478143664585E-2</v>
      </c>
      <c r="M105" s="7">
        <f t="shared" si="35"/>
        <v>3474.2864530500001</v>
      </c>
      <c r="N105">
        <f t="shared" si="31"/>
        <v>0.57133750000000005</v>
      </c>
    </row>
    <row r="106" spans="4:14" x14ac:dyDescent="0.45">
      <c r="D106" s="3" t="s">
        <v>663</v>
      </c>
      <c r="E106" s="3" t="s">
        <v>664</v>
      </c>
      <c r="F106" s="1" t="s">
        <v>665</v>
      </c>
      <c r="G106" s="3">
        <f t="shared" si="30"/>
        <v>4.5851399999998259</v>
      </c>
      <c r="H106" s="3">
        <f t="shared" si="32"/>
        <v>825.74739281666666</v>
      </c>
      <c r="I106" s="3">
        <f t="shared" si="33"/>
        <v>8.4031654963235503E-2</v>
      </c>
      <c r="J106" s="7">
        <f t="shared" si="34"/>
        <v>7.2661446493142323E-2</v>
      </c>
      <c r="M106" s="7">
        <f t="shared" si="35"/>
        <v>4300.0338458666665</v>
      </c>
      <c r="N106">
        <f t="shared" si="31"/>
        <v>0.4304345</v>
      </c>
    </row>
    <row r="107" spans="4:14" x14ac:dyDescent="0.45">
      <c r="D107" s="3" t="s">
        <v>678</v>
      </c>
      <c r="E107" s="3" t="s">
        <v>679</v>
      </c>
      <c r="F107" s="1" t="s">
        <v>680</v>
      </c>
      <c r="G107" s="3">
        <f t="shared" si="30"/>
        <v>5.366339999999183</v>
      </c>
      <c r="H107" s="3">
        <f t="shared" si="32"/>
        <v>650.93698104999999</v>
      </c>
      <c r="I107" s="3">
        <f t="shared" si="33"/>
        <v>7.2006970512497395E-2</v>
      </c>
      <c r="J107" s="7">
        <f t="shared" si="34"/>
        <v>9.2174821444644978E-2</v>
      </c>
      <c r="M107" s="7">
        <f t="shared" si="35"/>
        <v>4950.9708269166667</v>
      </c>
      <c r="N107">
        <f t="shared" si="31"/>
        <v>0.63365950000000004</v>
      </c>
    </row>
    <row r="108" spans="4:14" x14ac:dyDescent="0.45">
      <c r="D108" s="3" t="s">
        <v>698</v>
      </c>
      <c r="E108" s="3" t="s">
        <v>699</v>
      </c>
      <c r="F108" s="1" t="s">
        <v>700</v>
      </c>
      <c r="G108" s="3">
        <f t="shared" si="30"/>
        <v>6.272336000000938</v>
      </c>
      <c r="H108" s="3">
        <f t="shared" si="32"/>
        <v>705.3015746333333</v>
      </c>
      <c r="I108" s="3">
        <f t="shared" si="33"/>
        <v>7.7073073356408464E-2</v>
      </c>
      <c r="J108" s="7">
        <f t="shared" si="34"/>
        <v>8.5069992975972494E-2</v>
      </c>
      <c r="M108" s="7">
        <f t="shared" si="35"/>
        <v>5656.2724015499998</v>
      </c>
      <c r="N108">
        <f t="shared" si="31"/>
        <v>0.74317799999999989</v>
      </c>
    </row>
    <row r="109" spans="4:14" x14ac:dyDescent="0.45">
      <c r="D109" s="3" t="s">
        <v>732</v>
      </c>
      <c r="E109" s="3" t="s">
        <v>733</v>
      </c>
      <c r="F109" s="1" t="s">
        <v>734</v>
      </c>
      <c r="G109" s="3">
        <f t="shared" si="30"/>
        <v>7.6146979999978965</v>
      </c>
      <c r="H109" s="3">
        <f t="shared" si="32"/>
        <v>1118.0776397500001</v>
      </c>
      <c r="I109" s="3">
        <f t="shared" si="33"/>
        <v>7.2035891906242294E-2</v>
      </c>
      <c r="J109" s="7">
        <f t="shared" si="34"/>
        <v>5.3663536293790719E-2</v>
      </c>
      <c r="M109" s="7">
        <f t="shared" si="35"/>
        <v>6774.3500413000002</v>
      </c>
      <c r="N109">
        <f t="shared" si="31"/>
        <v>0.38530050000000005</v>
      </c>
    </row>
    <row r="110" spans="4:14" x14ac:dyDescent="0.45">
      <c r="D110" s="3" t="s">
        <v>750</v>
      </c>
      <c r="E110" s="3" t="s">
        <v>751</v>
      </c>
      <c r="F110" s="1" t="s">
        <v>764</v>
      </c>
      <c r="G110" s="3">
        <f t="shared" si="30"/>
        <v>8.2409919999996522</v>
      </c>
      <c r="H110" s="3">
        <f t="shared" si="32"/>
        <v>461.65621838333351</v>
      </c>
      <c r="I110" s="3">
        <f t="shared" si="33"/>
        <v>8.1397452268048884E-2</v>
      </c>
      <c r="J110" s="7">
        <f t="shared" si="34"/>
        <v>0.12996684028239247</v>
      </c>
      <c r="M110" s="7">
        <f t="shared" si="35"/>
        <v>7236.0062596833341</v>
      </c>
      <c r="N110">
        <f t="shared" si="31"/>
        <v>0.75900499999999993</v>
      </c>
    </row>
    <row r="111" spans="4:14" x14ac:dyDescent="0.45">
      <c r="D111" s="3" t="s">
        <v>777</v>
      </c>
      <c r="E111" s="3" t="s">
        <v>778</v>
      </c>
      <c r="F111" s="1" t="s">
        <v>779</v>
      </c>
      <c r="G111" s="3">
        <f t="shared" si="30"/>
        <v>9.0227509999918141</v>
      </c>
      <c r="H111" s="3">
        <f t="shared" si="32"/>
        <v>625.17029601666684</v>
      </c>
      <c r="I111" s="3">
        <f t="shared" si="33"/>
        <v>7.5028420733347242E-2</v>
      </c>
      <c r="J111" s="7">
        <f t="shared" si="34"/>
        <v>9.5973849657118734E-2</v>
      </c>
      <c r="M111" s="7">
        <f t="shared" si="35"/>
        <v>7861.1765557000008</v>
      </c>
      <c r="N111">
        <f t="shared" si="31"/>
        <v>0.97724499999999992</v>
      </c>
    </row>
    <row r="112" spans="4:14" x14ac:dyDescent="0.45">
      <c r="D112" s="3" t="s">
        <v>798</v>
      </c>
      <c r="E112" s="3" t="s">
        <v>799</v>
      </c>
      <c r="F112" s="1" t="s">
        <v>800</v>
      </c>
      <c r="G112" s="3">
        <f t="shared" si="30"/>
        <v>10.053995999999565</v>
      </c>
      <c r="H112" s="3">
        <f t="shared" si="32"/>
        <v>753.59948088333329</v>
      </c>
      <c r="I112" s="3">
        <f t="shared" si="33"/>
        <v>8.2105550189523036E-2</v>
      </c>
      <c r="J112" s="7">
        <f t="shared" si="34"/>
        <v>7.9617889239614215E-2</v>
      </c>
      <c r="M112" s="7">
        <f t="shared" si="35"/>
        <v>8614.7760365833346</v>
      </c>
      <c r="N112">
        <f t="shared" si="31"/>
        <v>0.94600400000000007</v>
      </c>
    </row>
    <row r="113" spans="4:14" x14ac:dyDescent="0.45">
      <c r="D113" s="3"/>
      <c r="E113" s="3"/>
      <c r="F113" s="1"/>
      <c r="G113" s="3"/>
      <c r="H113" s="3"/>
      <c r="I113" s="3"/>
      <c r="J113" s="7"/>
      <c r="K113" s="6"/>
      <c r="M113" s="7"/>
    </row>
    <row r="114" spans="4:14" x14ac:dyDescent="0.45">
      <c r="D114" s="3"/>
      <c r="E114" s="3"/>
      <c r="F114" s="1"/>
      <c r="G114" s="3"/>
      <c r="H114" s="3"/>
      <c r="I114" s="3"/>
      <c r="J114" s="7"/>
      <c r="K114" s="6"/>
      <c r="M114" s="7"/>
    </row>
    <row r="115" spans="4:14" x14ac:dyDescent="0.45">
      <c r="D115" s="3"/>
      <c r="E115" s="3"/>
      <c r="F115" s="1"/>
      <c r="G115" s="3"/>
      <c r="H115" s="3"/>
      <c r="I115" s="3"/>
      <c r="J115" s="7"/>
      <c r="K115" s="6"/>
      <c r="M115" s="7"/>
    </row>
    <row r="116" spans="4:14" x14ac:dyDescent="0.45">
      <c r="D116" s="3"/>
      <c r="E116" s="3"/>
      <c r="J116" s="6"/>
      <c r="M116" s="6"/>
    </row>
    <row r="117" spans="4:14" x14ac:dyDescent="0.45">
      <c r="D117" s="3"/>
      <c r="E117" s="3"/>
      <c r="J117" s="6"/>
      <c r="M117" s="6"/>
    </row>
    <row r="118" spans="4:14" x14ac:dyDescent="0.45">
      <c r="D118" s="3"/>
      <c r="E118" s="3"/>
      <c r="J118" s="6"/>
      <c r="M118" s="6"/>
    </row>
    <row r="119" spans="4:14" x14ac:dyDescent="0.45">
      <c r="D119" s="3"/>
      <c r="E119" s="3"/>
      <c r="J119" s="6"/>
      <c r="M119" s="6"/>
    </row>
    <row r="120" spans="4:14" x14ac:dyDescent="0.45">
      <c r="D120" s="3"/>
      <c r="E120" s="3"/>
      <c r="J120" s="6"/>
      <c r="M120" s="6"/>
    </row>
    <row r="121" spans="4:14" x14ac:dyDescent="0.45">
      <c r="D121" s="12" t="str">
        <f>("№"&amp;B8&amp;" - "&amp;A8)</f>
        <v>№7 - IVAN ERR15</v>
      </c>
      <c r="E121" s="12"/>
      <c r="F121" s="12"/>
      <c r="G121" s="13"/>
      <c r="H121" s="13"/>
      <c r="I121" s="13"/>
      <c r="J121" s="14"/>
      <c r="K121" s="13"/>
      <c r="L121" s="13"/>
      <c r="M121" s="14"/>
      <c r="N121" s="13"/>
    </row>
    <row r="122" spans="4:14" x14ac:dyDescent="0.45">
      <c r="D122" s="12" t="s">
        <v>8</v>
      </c>
      <c r="E122" s="12" t="s">
        <v>9</v>
      </c>
      <c r="F122" s="12" t="s">
        <v>10</v>
      </c>
      <c r="G122" s="12" t="s">
        <v>346</v>
      </c>
      <c r="H122" s="12" t="s">
        <v>222</v>
      </c>
      <c r="I122" s="12" t="s">
        <v>223</v>
      </c>
      <c r="J122" s="12" t="s">
        <v>224</v>
      </c>
      <c r="K122" s="12" t="s">
        <v>225</v>
      </c>
      <c r="L122" s="12" t="s">
        <v>345</v>
      </c>
      <c r="M122" s="12" t="s">
        <v>344</v>
      </c>
      <c r="N122" s="12"/>
    </row>
    <row r="123" spans="4:14" x14ac:dyDescent="0.45">
      <c r="D123" s="2" t="s">
        <v>464</v>
      </c>
      <c r="E123" s="2" t="s">
        <v>465</v>
      </c>
      <c r="F123" s="1" t="s">
        <v>466</v>
      </c>
      <c r="G123" s="3">
        <f t="shared" ref="G123:G136" si="36">(DATEVALUE(LEFT(E123, 10))-DATEVALUE(LEFT(D123, 10))) * 86400 + (TIMEVALUE(MID(E123, 12, 8)) - TIMEVALUE(MID(D123, 12, 8))) * 86400 + (VALUE(RIGHT(E123, 6)) - VALUE(RIGHT(D123, 6))) / 1000000</f>
        <v>-0.8835189999993569</v>
      </c>
      <c r="H123" s="3"/>
      <c r="I123" s="3"/>
      <c r="J123" s="6"/>
      <c r="K123" s="3" cm="1">
        <f t="array" ref="K123">((LOOKUP(2,1/(G123:G144&lt;&gt;""),G123:G144) - G123)/SUM(H124:H144)) * 60</f>
        <v>0.1134430525392042</v>
      </c>
      <c r="L123" s="3">
        <f>((FLOOR(MAX(G123:G145), 1)-FLOOR(MIN(G123:G145), 1))/SUM(H124:H145)) * 60</f>
        <v>0.11148321250192905</v>
      </c>
      <c r="M123" s="6">
        <v>0</v>
      </c>
      <c r="N123">
        <f t="shared" ref="N123:N136" si="37">(MID(F123, 2, 7) + MID(F123, 12, 8)) / 2</f>
        <v>0.89918699999999996</v>
      </c>
    </row>
    <row r="124" spans="4:14" x14ac:dyDescent="0.45">
      <c r="D124" s="2" t="s">
        <v>502</v>
      </c>
      <c r="E124" s="2" t="s">
        <v>503</v>
      </c>
      <c r="F124" s="1" t="s">
        <v>504</v>
      </c>
      <c r="G124" s="3">
        <f t="shared" si="36"/>
        <v>0.36622100000000002</v>
      </c>
      <c r="H124" s="3">
        <f t="shared" ref="H124:H136" si="38">((DATEVALUE(LEFT(D124,10))-DATEVALUE(LEFT(D123,10)))*86400+(TIMEVALUE(MID(D124,12,8))-TIMEVALUE(MID(D123,12,8)))*86400+(VALUE(RIGHT(D124,6))-VALUE(RIGHT(D123,6)))/1000000)/ 60</f>
        <v>659.56250843333328</v>
      </c>
      <c r="I124" s="3">
        <f t="shared" ref="I124:I136" si="39">3600 * (G124-G123) / ((DATEVALUE(LEFT(D124, 10))-DATEVALUE(LEFT(D123, 10))) * 86400 + (TIMEVALUE(MID(D124, 12, 8)) - TIMEVALUE(MID(D123, 12, 8))) * 86400 + (VALUE(RIGHT(D124, 6)) - VALUE(RIGHT(D123, 6))) / 1000000)</f>
        <v>0.1136880872414546</v>
      </c>
      <c r="J124" s="7">
        <f t="shared" ref="J124:J136" si="40">(FLOOR(G124, 1) - FLOOR(G123, 1)) / H124 * 60</f>
        <v>9.0969391426627202E-2</v>
      </c>
      <c r="L124" s="3"/>
      <c r="M124" s="7">
        <f t="shared" ref="M124:M136" si="41">M123 + H124</f>
        <v>659.56250843333328</v>
      </c>
      <c r="N124">
        <f t="shared" si="37"/>
        <v>0.63377649999999996</v>
      </c>
    </row>
    <row r="125" spans="4:14" x14ac:dyDescent="0.45">
      <c r="D125" s="2" t="s">
        <v>535</v>
      </c>
      <c r="E125" s="2" t="s">
        <v>536</v>
      </c>
      <c r="F125" s="1" t="s">
        <v>537</v>
      </c>
      <c r="G125" s="3">
        <f t="shared" si="36"/>
        <v>1.0850699999969589</v>
      </c>
      <c r="H125" s="3">
        <f t="shared" si="38"/>
        <v>366.23801843333337</v>
      </c>
      <c r="I125" s="3">
        <f t="shared" si="39"/>
        <v>0.11776751136957314</v>
      </c>
      <c r="J125" s="7">
        <f t="shared" si="40"/>
        <v>0.163827885091405</v>
      </c>
      <c r="K125" t="s">
        <v>340</v>
      </c>
      <c r="M125" s="7">
        <f t="shared" si="41"/>
        <v>1025.8005268666666</v>
      </c>
      <c r="N125">
        <f t="shared" si="37"/>
        <v>0.91492949999999995</v>
      </c>
    </row>
    <row r="126" spans="4:14" x14ac:dyDescent="0.45">
      <c r="D126" s="3" t="s">
        <v>558</v>
      </c>
      <c r="E126" s="3" t="s">
        <v>557</v>
      </c>
      <c r="F126" s="3" t="s">
        <v>559</v>
      </c>
      <c r="G126" s="3">
        <f t="shared" si="36"/>
        <v>3.4912970000004688</v>
      </c>
      <c r="H126" s="3">
        <f t="shared" si="38"/>
        <v>946.94322448333321</v>
      </c>
      <c r="I126" s="3">
        <f t="shared" si="39"/>
        <v>0.15246280480963689</v>
      </c>
      <c r="J126" s="7">
        <f t="shared" si="40"/>
        <v>0.12672354254973822</v>
      </c>
      <c r="K126" s="3">
        <f>(MAX(G123:G144) / (DATEDIF(VALUE(DATE(2000 + MID(B17, 1, 2), MID(B17, 4, 2), MID(B17, 7, 2))), VALUE(DATEVALUE(MID(D123, 1, 10)) + TIMEVALUE(MID(D123, 12, 8)) + MID(D123, 21, 6) / 86400000), "d") * 1440 + (TIMEVALUE(MID(D123, 12, 8)) - TIMEVALUE(RIGHT(B17, 8))) * 1440 + MID(D123, 21, 6) / 86400000 + MAX(M123:M144))) * 60</f>
        <v>0.10723037898001232</v>
      </c>
      <c r="L126" s="3"/>
      <c r="M126" s="7">
        <f t="shared" si="41"/>
        <v>1972.7437513499999</v>
      </c>
      <c r="N126">
        <f t="shared" si="37"/>
        <v>0.50870300000000002</v>
      </c>
    </row>
    <row r="127" spans="4:14" x14ac:dyDescent="0.45">
      <c r="D127" s="2" t="s">
        <v>590</v>
      </c>
      <c r="E127" s="2" t="s">
        <v>591</v>
      </c>
      <c r="F127" s="2" t="s">
        <v>592</v>
      </c>
      <c r="G127" s="3">
        <f t="shared" si="36"/>
        <v>3.9602620000004691</v>
      </c>
      <c r="H127" s="3">
        <f t="shared" si="38"/>
        <v>221.97551066666665</v>
      </c>
      <c r="I127" s="3">
        <f t="shared" si="39"/>
        <v>0.12676128062727504</v>
      </c>
      <c r="J127" s="7">
        <f t="shared" si="40"/>
        <v>0</v>
      </c>
      <c r="M127" s="7">
        <f t="shared" si="41"/>
        <v>2194.7192620166666</v>
      </c>
      <c r="N127">
        <f t="shared" si="37"/>
        <v>5.5379999999999999E-2</v>
      </c>
    </row>
    <row r="128" spans="4:14" x14ac:dyDescent="0.45">
      <c r="D128" s="2" t="s">
        <v>602</v>
      </c>
      <c r="E128" s="2" t="s">
        <v>603</v>
      </c>
      <c r="F128" s="2" t="s">
        <v>604</v>
      </c>
      <c r="G128" s="3">
        <f t="shared" si="36"/>
        <v>3.8976060000004691</v>
      </c>
      <c r="H128" s="3">
        <f t="shared" si="38"/>
        <v>589.05105276666666</v>
      </c>
      <c r="I128" s="3">
        <f t="shared" si="39"/>
        <v>-6.3820614229326408E-3</v>
      </c>
      <c r="J128" s="7">
        <f t="shared" si="40"/>
        <v>0</v>
      </c>
      <c r="K128" s="8" t="s">
        <v>995</v>
      </c>
      <c r="M128" s="7">
        <f t="shared" si="41"/>
        <v>2783.7703147833331</v>
      </c>
      <c r="N128">
        <f t="shared" si="37"/>
        <v>0.1023905</v>
      </c>
    </row>
    <row r="129" spans="4:14" x14ac:dyDescent="0.45">
      <c r="D129" s="2" t="s">
        <v>623</v>
      </c>
      <c r="E129" s="2" t="s">
        <v>624</v>
      </c>
      <c r="F129" s="2" t="s">
        <v>625</v>
      </c>
      <c r="G129" s="3">
        <f t="shared" si="36"/>
        <v>5.1161129999991832</v>
      </c>
      <c r="H129" s="3">
        <f t="shared" si="38"/>
        <v>634.67969300000004</v>
      </c>
      <c r="I129" s="3">
        <f t="shared" si="39"/>
        <v>0.11519262520334465</v>
      </c>
      <c r="J129" s="7">
        <f t="shared" si="40"/>
        <v>0.18907174961402143</v>
      </c>
      <c r="K129">
        <f>_xlfn.STDEV.P(I124:I144)</f>
        <v>3.5465913956156947E-2</v>
      </c>
      <c r="M129" s="7">
        <f t="shared" si="41"/>
        <v>3418.4500077833331</v>
      </c>
      <c r="N129">
        <f t="shared" si="37"/>
        <v>0.88388449999999996</v>
      </c>
    </row>
    <row r="130" spans="4:14" x14ac:dyDescent="0.45">
      <c r="D130" s="3" t="s">
        <v>660</v>
      </c>
      <c r="E130" s="3" t="s">
        <v>661</v>
      </c>
      <c r="F130" s="2" t="s">
        <v>662</v>
      </c>
      <c r="G130" s="3">
        <f t="shared" si="36"/>
        <v>6.8972460000003384</v>
      </c>
      <c r="H130" s="3">
        <f t="shared" si="38"/>
        <v>870.63698323333335</v>
      </c>
      <c r="I130" s="3">
        <f t="shared" si="39"/>
        <v>0.12274688769042144</v>
      </c>
      <c r="J130" s="7">
        <f t="shared" si="40"/>
        <v>6.8915060071506079E-2</v>
      </c>
      <c r="M130" s="7">
        <f t="shared" si="41"/>
        <v>4289.0869910166666</v>
      </c>
      <c r="N130">
        <f t="shared" si="37"/>
        <v>0.1179365</v>
      </c>
    </row>
    <row r="131" spans="4:14" x14ac:dyDescent="0.45">
      <c r="D131" s="3" t="s">
        <v>687</v>
      </c>
      <c r="E131" s="3" t="s">
        <v>688</v>
      </c>
      <c r="F131" s="2" t="s">
        <v>689</v>
      </c>
      <c r="G131" s="3">
        <f t="shared" si="36"/>
        <v>8.1786659999948554</v>
      </c>
      <c r="H131" s="3">
        <f t="shared" si="38"/>
        <v>670.86197600000003</v>
      </c>
      <c r="I131" s="3">
        <f t="shared" si="39"/>
        <v>0.11460658488665189</v>
      </c>
      <c r="J131" s="7">
        <f t="shared" si="40"/>
        <v>0.17887435015395772</v>
      </c>
      <c r="M131" s="7">
        <f t="shared" si="41"/>
        <v>4959.9489670166668</v>
      </c>
      <c r="N131">
        <f t="shared" si="37"/>
        <v>0.82133400000000001</v>
      </c>
    </row>
    <row r="132" spans="4:14" x14ac:dyDescent="0.45">
      <c r="D132" s="3" t="s">
        <v>701</v>
      </c>
      <c r="E132" s="3" t="s">
        <v>702</v>
      </c>
      <c r="F132" s="2" t="s">
        <v>703</v>
      </c>
      <c r="G132" s="3">
        <f t="shared" si="36"/>
        <v>9.5541629999918136</v>
      </c>
      <c r="H132" s="3">
        <f t="shared" si="38"/>
        <v>689.91040350000003</v>
      </c>
      <c r="I132" s="3">
        <f t="shared" si="39"/>
        <v>0.11962396795458309</v>
      </c>
      <c r="J132" s="7">
        <f t="shared" si="40"/>
        <v>8.6967814509844546E-2</v>
      </c>
      <c r="M132" s="7">
        <f t="shared" si="41"/>
        <v>5649.8593705166668</v>
      </c>
      <c r="N132">
        <f t="shared" si="37"/>
        <v>0.44583699999999998</v>
      </c>
    </row>
    <row r="133" spans="4:14" x14ac:dyDescent="0.45">
      <c r="D133" s="3" t="s">
        <v>735</v>
      </c>
      <c r="E133" s="3" t="s">
        <v>736</v>
      </c>
      <c r="F133" s="3" t="s">
        <v>737</v>
      </c>
      <c r="G133" s="3">
        <f t="shared" si="36"/>
        <v>11.741315000004917</v>
      </c>
      <c r="H133" s="3">
        <f t="shared" si="38"/>
        <v>1120.6135478833335</v>
      </c>
      <c r="I133" s="3">
        <f t="shared" si="39"/>
        <v>0.11710470594314858</v>
      </c>
      <c r="J133" s="7">
        <f t="shared" si="40"/>
        <v>0.10708419528450422</v>
      </c>
      <c r="M133" s="7">
        <f t="shared" si="41"/>
        <v>6770.4729184000007</v>
      </c>
      <c r="N133">
        <f t="shared" si="37"/>
        <v>0.25868400000000003</v>
      </c>
    </row>
    <row r="134" spans="4:14" x14ac:dyDescent="0.45">
      <c r="D134" s="3" t="s">
        <v>758</v>
      </c>
      <c r="E134" s="3" t="s">
        <v>759</v>
      </c>
      <c r="F134" s="3" t="s">
        <v>760</v>
      </c>
      <c r="G134" s="3">
        <f t="shared" si="36"/>
        <v>12.710312999999477</v>
      </c>
      <c r="H134" s="3">
        <f t="shared" si="38"/>
        <v>465.2671812666668</v>
      </c>
      <c r="I134" s="3">
        <f t="shared" si="39"/>
        <v>0.12496019994659985</v>
      </c>
      <c r="J134" s="7">
        <f t="shared" si="40"/>
        <v>0.12895816084997222</v>
      </c>
      <c r="M134" s="7">
        <f t="shared" si="41"/>
        <v>7235.7400996666674</v>
      </c>
      <c r="N134">
        <f t="shared" si="37"/>
        <v>0.30529099999999998</v>
      </c>
    </row>
    <row r="135" spans="4:14" x14ac:dyDescent="0.45">
      <c r="D135" s="3" t="s">
        <v>768</v>
      </c>
      <c r="E135" s="3" t="s">
        <v>769</v>
      </c>
      <c r="F135" s="3" t="s">
        <v>770</v>
      </c>
      <c r="G135" s="3">
        <f t="shared" si="36"/>
        <v>13.866169000008426</v>
      </c>
      <c r="H135" s="3">
        <f t="shared" si="38"/>
        <v>606.96406906666675</v>
      </c>
      <c r="I135" s="3">
        <f t="shared" si="39"/>
        <v>0.11425941589455052</v>
      </c>
      <c r="J135" s="7">
        <f t="shared" si="40"/>
        <v>9.8852638991073147E-2</v>
      </c>
      <c r="M135" s="7">
        <f t="shared" si="41"/>
        <v>7842.704168733334</v>
      </c>
      <c r="N135">
        <f t="shared" si="37"/>
        <v>0.133829</v>
      </c>
    </row>
    <row r="136" spans="4:14" x14ac:dyDescent="0.45">
      <c r="D136" s="3" t="s">
        <v>804</v>
      </c>
      <c r="E136" s="3" t="s">
        <v>805</v>
      </c>
      <c r="F136" s="3" t="s">
        <v>806</v>
      </c>
      <c r="G136" s="3">
        <f t="shared" si="36"/>
        <v>15.397755999999946</v>
      </c>
      <c r="H136" s="3">
        <f t="shared" si="38"/>
        <v>768.45780315000002</v>
      </c>
      <c r="I136" s="3">
        <f t="shared" si="39"/>
        <v>0.11958395063828064</v>
      </c>
      <c r="J136" s="7">
        <f t="shared" si="40"/>
        <v>0.15615691519834365</v>
      </c>
      <c r="M136" s="7">
        <f t="shared" si="41"/>
        <v>8611.1619718833335</v>
      </c>
      <c r="N136">
        <f t="shared" si="37"/>
        <v>0.60224300000000008</v>
      </c>
    </row>
    <row r="137" spans="4:14" x14ac:dyDescent="0.45">
      <c r="D137" s="3"/>
      <c r="E137" s="3"/>
      <c r="F137" s="3"/>
      <c r="G137" s="3"/>
      <c r="H137" s="3"/>
      <c r="I137" s="3"/>
      <c r="J137" s="7"/>
      <c r="K137" s="6"/>
      <c r="M137" s="7"/>
    </row>
    <row r="138" spans="4:14" x14ac:dyDescent="0.45">
      <c r="D138" s="3"/>
      <c r="E138" s="3"/>
      <c r="F138" s="3"/>
      <c r="G138" s="3"/>
      <c r="H138" s="3"/>
      <c r="I138" s="3"/>
      <c r="J138" s="7"/>
      <c r="K138" s="6"/>
      <c r="M138" s="7"/>
    </row>
    <row r="139" spans="4:14" x14ac:dyDescent="0.45">
      <c r="D139" s="3"/>
      <c r="E139" s="3"/>
      <c r="F139" s="3"/>
      <c r="G139" s="3"/>
      <c r="H139" s="3"/>
      <c r="I139" s="3"/>
      <c r="J139" s="7"/>
      <c r="K139" s="6"/>
      <c r="M139" s="7"/>
    </row>
    <row r="140" spans="4:14" x14ac:dyDescent="0.45">
      <c r="D140" s="3"/>
      <c r="E140" s="3"/>
      <c r="F140" s="3"/>
      <c r="J140" s="6"/>
      <c r="M140" s="6"/>
    </row>
    <row r="141" spans="4:14" x14ac:dyDescent="0.45">
      <c r="D141" s="3"/>
      <c r="E141" s="3"/>
      <c r="F141" s="3"/>
      <c r="J141" s="6"/>
      <c r="M141" s="6"/>
    </row>
    <row r="142" spans="4:14" x14ac:dyDescent="0.45">
      <c r="D142" s="3"/>
      <c r="E142" s="3"/>
      <c r="F142" s="3"/>
      <c r="J142" s="6"/>
      <c r="M142" s="6"/>
    </row>
    <row r="143" spans="4:14" x14ac:dyDescent="0.45">
      <c r="D143" s="3"/>
      <c r="E143" s="3"/>
      <c r="F143" s="3"/>
      <c r="J143" s="6"/>
      <c r="M143" s="6"/>
    </row>
    <row r="144" spans="4:14" x14ac:dyDescent="0.45">
      <c r="D144" s="3"/>
      <c r="E144" s="3"/>
      <c r="F144" s="3"/>
      <c r="J144" s="6"/>
      <c r="M144" s="6"/>
    </row>
    <row r="145" spans="4:14" x14ac:dyDescent="0.45">
      <c r="D145" s="12" t="str">
        <f>("№"&amp;B9&amp;" - "&amp;A9)</f>
        <v>№8 - AIM TRAINING DEVICE</v>
      </c>
      <c r="E145" s="12"/>
      <c r="F145" s="12"/>
      <c r="G145" s="13"/>
      <c r="H145" s="13"/>
      <c r="I145" s="13"/>
      <c r="J145" s="14"/>
      <c r="K145" s="13"/>
      <c r="L145" s="13"/>
      <c r="M145" s="14"/>
      <c r="N145" s="13"/>
    </row>
    <row r="146" spans="4:14" x14ac:dyDescent="0.45">
      <c r="D146" s="12" t="s">
        <v>8</v>
      </c>
      <c r="E146" s="12" t="s">
        <v>9</v>
      </c>
      <c r="F146" s="12" t="s">
        <v>10</v>
      </c>
      <c r="G146" s="12" t="s">
        <v>346</v>
      </c>
      <c r="H146" s="12" t="s">
        <v>222</v>
      </c>
      <c r="I146" s="12" t="s">
        <v>223</v>
      </c>
      <c r="J146" s="12" t="s">
        <v>224</v>
      </c>
      <c r="K146" s="12" t="s">
        <v>225</v>
      </c>
      <c r="L146" s="12" t="s">
        <v>345</v>
      </c>
      <c r="M146" s="12" t="s">
        <v>344</v>
      </c>
      <c r="N146" s="12"/>
    </row>
    <row r="147" spans="4:14" x14ac:dyDescent="0.45">
      <c r="D147" s="2" t="s">
        <v>490</v>
      </c>
      <c r="E147" s="2" t="s">
        <v>491</v>
      </c>
      <c r="F147" s="1" t="s">
        <v>492</v>
      </c>
      <c r="G147" s="3">
        <f t="shared" ref="G147:G160" si="42">(DATEVALUE(LEFT(E147, 10))-DATEVALUE(LEFT(D147, 10))) * 86400 + (TIMEVALUE(MID(E147, 12, 8)) - TIMEVALUE(MID(D147, 12, 8))) * 86400 + (VALUE(RIGHT(E147, 6)) - VALUE(RIGHT(D147, 6))) / 1000000</f>
        <v>-0.22702999999695883</v>
      </c>
      <c r="H147" s="3"/>
      <c r="I147" s="3"/>
      <c r="J147" s="6"/>
      <c r="K147" s="3" cm="1">
        <f t="array" ref="K147">((LOOKUP(2,1/(G147:G168&lt;&gt;""),G147:G168) - G147)/SUM(H148:H168)) * 60</f>
        <v>2.1416527565047968E-2</v>
      </c>
      <c r="L147" s="3">
        <f>((FLOOR(MAX(G147:G169), 1)-FLOOR(MIN(G147:G169), 1))/SUM(H148:H169)) * 60</f>
        <v>2.259333135303622E-2</v>
      </c>
      <c r="M147" s="6">
        <v>0</v>
      </c>
      <c r="N147">
        <f t="shared" ref="N147:N160" si="43">(MID(F147, 2, 7) + MID(F147, 12, 8)) / 2</f>
        <v>0.22702650000000002</v>
      </c>
    </row>
    <row r="148" spans="4:14" x14ac:dyDescent="0.45">
      <c r="D148" s="2" t="s">
        <v>517</v>
      </c>
      <c r="E148" s="2" t="s">
        <v>518</v>
      </c>
      <c r="F148" s="1" t="s">
        <v>519</v>
      </c>
      <c r="G148" s="3">
        <f t="shared" si="42"/>
        <v>-0.1957669999969589</v>
      </c>
      <c r="H148" s="3">
        <f t="shared" ref="H148:H160" si="44">((DATEVALUE(LEFT(D148,10))-DATEVALUE(LEFT(D147,10)))*86400+(TIMEVALUE(MID(D148,12,8))-TIMEVALUE(MID(D147,12,8)))*86400+(VALUE(RIGHT(D148,6))-VALUE(RIGHT(D147,6)))/1000000)/ 60</f>
        <v>72.966150116666668</v>
      </c>
      <c r="I148" s="3">
        <f t="shared" ref="I148:I160" si="45">3600 * (G148-G147) / ((DATEVALUE(LEFT(D148, 10))-DATEVALUE(LEFT(D147, 10))) * 86400 + (TIMEVALUE(MID(D148, 12, 8)) - TIMEVALUE(MID(D147, 12, 8))) * 86400 + (VALUE(RIGHT(D148, 6)) - VALUE(RIGHT(D147, 6))) / 1000000)</f>
        <v>2.5707536946937497E-2</v>
      </c>
      <c r="J148" s="7">
        <f t="shared" ref="J148:J160" si="46">(FLOOR(G148, 1) - FLOOR(G147, 1)) / H148 * 60</f>
        <v>0</v>
      </c>
      <c r="L148" s="3"/>
      <c r="M148" s="7">
        <f t="shared" ref="M148:M160" si="47">M147 + H148</f>
        <v>72.966150116666668</v>
      </c>
      <c r="N148">
        <f t="shared" si="43"/>
        <v>0.211453</v>
      </c>
    </row>
    <row r="149" spans="4:14" x14ac:dyDescent="0.45">
      <c r="D149" s="2" t="s">
        <v>539</v>
      </c>
      <c r="E149" s="2" t="s">
        <v>540</v>
      </c>
      <c r="F149" s="1" t="s">
        <v>538</v>
      </c>
      <c r="G149" s="3">
        <f t="shared" si="42"/>
        <v>-3.9946000006551241E-2</v>
      </c>
      <c r="H149" s="3">
        <f t="shared" si="44"/>
        <v>308.44740278333342</v>
      </c>
      <c r="I149" s="3">
        <f t="shared" si="45"/>
        <v>3.0310710724290903E-2</v>
      </c>
      <c r="J149" s="7">
        <f t="shared" si="46"/>
        <v>0</v>
      </c>
      <c r="K149" t="s">
        <v>340</v>
      </c>
      <c r="M149" s="7">
        <f t="shared" si="47"/>
        <v>381.41355290000007</v>
      </c>
      <c r="N149">
        <f t="shared" si="43"/>
        <v>5.5495500000000003E-2</v>
      </c>
    </row>
    <row r="150" spans="4:14" x14ac:dyDescent="0.45">
      <c r="D150" s="2" t="s">
        <v>563</v>
      </c>
      <c r="E150" s="2" t="s">
        <v>564</v>
      </c>
      <c r="F150" s="1" t="s">
        <v>565</v>
      </c>
      <c r="G150" s="3">
        <f t="shared" si="42"/>
        <v>0.92923500000000003</v>
      </c>
      <c r="H150" s="3">
        <f t="shared" si="44"/>
        <v>951.70051218333333</v>
      </c>
      <c r="I150" s="3">
        <f t="shared" si="45"/>
        <v>6.1102058111734039E-2</v>
      </c>
      <c r="J150" s="7">
        <f t="shared" si="46"/>
        <v>6.3045043300808637E-2</v>
      </c>
      <c r="K150" s="3" t="s">
        <v>343</v>
      </c>
      <c r="L150" s="3"/>
      <c r="M150" s="7">
        <f t="shared" si="47"/>
        <v>1333.1140650833333</v>
      </c>
      <c r="N150">
        <f t="shared" si="43"/>
        <v>7.0763999999999994E-2</v>
      </c>
    </row>
    <row r="151" spans="4:14" x14ac:dyDescent="0.45">
      <c r="D151" s="2" t="s">
        <v>579</v>
      </c>
      <c r="E151" s="2" t="s">
        <v>580</v>
      </c>
      <c r="F151" s="1" t="s">
        <v>581</v>
      </c>
      <c r="G151" s="3">
        <f t="shared" si="42"/>
        <v>0.99143000000000003</v>
      </c>
      <c r="H151" s="3">
        <f t="shared" si="44"/>
        <v>197.49896255000004</v>
      </c>
      <c r="I151" s="3">
        <f t="shared" si="45"/>
        <v>1.8894782796923606E-2</v>
      </c>
      <c r="J151" s="7">
        <f t="shared" si="46"/>
        <v>0</v>
      </c>
      <c r="M151" s="7">
        <f t="shared" si="47"/>
        <v>1530.6130276333333</v>
      </c>
      <c r="N151">
        <f t="shared" si="43"/>
        <v>8.5675000000000005E-3</v>
      </c>
    </row>
    <row r="152" spans="4:14" x14ac:dyDescent="0.45">
      <c r="D152" s="2" t="s">
        <v>605</v>
      </c>
      <c r="E152" s="2" t="s">
        <v>606</v>
      </c>
      <c r="F152" s="1" t="s">
        <v>607</v>
      </c>
      <c r="G152" s="3">
        <f t="shared" si="42"/>
        <v>5.3998999999999998E-2</v>
      </c>
      <c r="H152" s="3">
        <f t="shared" si="44"/>
        <v>609.86561233333327</v>
      </c>
      <c r="I152" s="3">
        <f t="shared" si="45"/>
        <v>-9.2226646104548338E-2</v>
      </c>
      <c r="J152" s="7">
        <f t="shared" si="46"/>
        <v>0</v>
      </c>
      <c r="K152" s="8" t="s">
        <v>995</v>
      </c>
      <c r="M152" s="7">
        <f t="shared" si="47"/>
        <v>2140.4786399666664</v>
      </c>
      <c r="N152">
        <f t="shared" si="43"/>
        <v>0.94599900000000003</v>
      </c>
    </row>
    <row r="153" spans="4:14" x14ac:dyDescent="0.45">
      <c r="D153" s="2" t="s">
        <v>632</v>
      </c>
      <c r="E153" s="2" t="s">
        <v>633</v>
      </c>
      <c r="F153" s="1" t="s">
        <v>634</v>
      </c>
      <c r="G153" s="3">
        <f t="shared" si="42"/>
        <v>0.33532499999999998</v>
      </c>
      <c r="H153" s="3">
        <f t="shared" si="44"/>
        <v>671.34532699999988</v>
      </c>
      <c r="I153" s="3">
        <f t="shared" si="45"/>
        <v>2.5142887454700343E-2</v>
      </c>
      <c r="J153" s="7">
        <f t="shared" si="46"/>
        <v>0</v>
      </c>
      <c r="K153">
        <f>_xlfn.STDEV.P(I148:I168)</f>
        <v>3.3841014347121487E-2</v>
      </c>
      <c r="M153" s="7">
        <f t="shared" si="47"/>
        <v>2811.8239669666664</v>
      </c>
      <c r="N153">
        <f t="shared" si="43"/>
        <v>0.68091900000000005</v>
      </c>
    </row>
    <row r="154" spans="4:14" x14ac:dyDescent="0.45">
      <c r="D154" s="3" t="s">
        <v>654</v>
      </c>
      <c r="E154" s="3" t="s">
        <v>655</v>
      </c>
      <c r="F154" s="1" t="s">
        <v>656</v>
      </c>
      <c r="G154" s="3">
        <f t="shared" si="42"/>
        <v>0.74127799999999999</v>
      </c>
      <c r="H154" s="3">
        <f t="shared" si="44"/>
        <v>825.45990333333327</v>
      </c>
      <c r="I154" s="3">
        <f t="shared" si="45"/>
        <v>2.9507405388974055E-2</v>
      </c>
      <c r="J154" s="7">
        <f t="shared" si="46"/>
        <v>0</v>
      </c>
      <c r="M154" s="7">
        <f t="shared" si="47"/>
        <v>3637.2838702999998</v>
      </c>
      <c r="N154">
        <f t="shared" si="43"/>
        <v>0.25872050000000002</v>
      </c>
    </row>
    <row r="155" spans="4:14" x14ac:dyDescent="0.45">
      <c r="D155" s="3" t="s">
        <v>684</v>
      </c>
      <c r="E155" s="3" t="s">
        <v>685</v>
      </c>
      <c r="F155" s="1" t="s">
        <v>686</v>
      </c>
      <c r="G155" s="3">
        <f t="shared" si="42"/>
        <v>0.99128799999999995</v>
      </c>
      <c r="H155" s="3">
        <f t="shared" si="44"/>
        <v>672.64583116666665</v>
      </c>
      <c r="I155" s="3">
        <f t="shared" si="45"/>
        <v>2.2300888974487947E-2</v>
      </c>
      <c r="J155" s="7">
        <f t="shared" si="46"/>
        <v>0</v>
      </c>
      <c r="M155" s="7">
        <f t="shared" si="47"/>
        <v>4309.9297014666663</v>
      </c>
      <c r="N155">
        <f t="shared" si="43"/>
        <v>8.7100000000000007E-3</v>
      </c>
    </row>
    <row r="156" spans="4:14" x14ac:dyDescent="0.45">
      <c r="D156" s="3" t="s">
        <v>696</v>
      </c>
      <c r="E156" s="3" t="s">
        <v>697</v>
      </c>
      <c r="F156" s="1" t="s">
        <v>713</v>
      </c>
      <c r="G156" s="3">
        <f t="shared" si="42"/>
        <v>1.2724490000065511</v>
      </c>
      <c r="H156" s="3">
        <f t="shared" si="44"/>
        <v>689.12864698333328</v>
      </c>
      <c r="I156" s="3">
        <f t="shared" si="45"/>
        <v>2.4479696315397943E-2</v>
      </c>
      <c r="J156" s="7">
        <f t="shared" si="46"/>
        <v>8.7066471931838169E-2</v>
      </c>
      <c r="M156" s="7">
        <f t="shared" si="47"/>
        <v>4999.0583484499994</v>
      </c>
      <c r="N156">
        <f t="shared" si="43"/>
        <v>0.72755000000000003</v>
      </c>
    </row>
    <row r="157" spans="4:14" x14ac:dyDescent="0.45">
      <c r="D157" s="3" t="s">
        <v>723</v>
      </c>
      <c r="E157" s="3" t="s">
        <v>724</v>
      </c>
      <c r="F157" t="s">
        <v>725</v>
      </c>
      <c r="G157" s="3">
        <f t="shared" si="42"/>
        <v>1.7101719999969589</v>
      </c>
      <c r="H157" s="3">
        <f t="shared" si="44"/>
        <v>1111.1760380000001</v>
      </c>
      <c r="I157" s="3">
        <f t="shared" si="45"/>
        <v>2.3635660868547695E-2</v>
      </c>
      <c r="J157" s="7">
        <f t="shared" si="46"/>
        <v>0</v>
      </c>
      <c r="M157" s="7">
        <f t="shared" si="47"/>
        <v>6110.2343864499999</v>
      </c>
      <c r="N157">
        <f t="shared" si="43"/>
        <v>0.28982649999999999</v>
      </c>
    </row>
    <row r="158" spans="4:14" x14ac:dyDescent="0.45">
      <c r="D158" s="3" t="s">
        <v>744</v>
      </c>
      <c r="E158" s="3" t="s">
        <v>745</v>
      </c>
      <c r="F158" s="1" t="s">
        <v>746</v>
      </c>
      <c r="G158" s="3">
        <f t="shared" si="42"/>
        <v>1.9603219999993571</v>
      </c>
      <c r="H158" s="3">
        <f t="shared" si="44"/>
        <v>464.21249311666651</v>
      </c>
      <c r="I158" s="3">
        <f t="shared" si="45"/>
        <v>3.2332175938168492E-2</v>
      </c>
      <c r="J158" s="7">
        <f t="shared" si="46"/>
        <v>0</v>
      </c>
      <c r="M158" s="7">
        <f t="shared" si="47"/>
        <v>6574.4468795666662</v>
      </c>
      <c r="N158">
        <f t="shared" si="43"/>
        <v>5.6134000000000003E-2</v>
      </c>
    </row>
    <row r="159" spans="4:14" x14ac:dyDescent="0.45">
      <c r="D159" s="3" t="s">
        <v>774</v>
      </c>
      <c r="E159" s="3" t="s">
        <v>775</v>
      </c>
      <c r="F159" s="1" t="s">
        <v>776</v>
      </c>
      <c r="G159" s="3">
        <f t="shared" si="42"/>
        <v>2.2106449999939177</v>
      </c>
      <c r="H159" s="3">
        <f t="shared" si="44"/>
        <v>628.67915694999999</v>
      </c>
      <c r="I159" s="3">
        <f t="shared" si="45"/>
        <v>2.389037370435387E-2</v>
      </c>
      <c r="J159" s="7">
        <f t="shared" si="46"/>
        <v>9.5438188679717775E-2</v>
      </c>
      <c r="M159" s="7">
        <f t="shared" si="47"/>
        <v>7203.1260365166663</v>
      </c>
      <c r="N159">
        <f t="shared" si="43"/>
        <v>0.80585299999999993</v>
      </c>
    </row>
    <row r="160" spans="4:14" x14ac:dyDescent="0.45">
      <c r="D160" s="3" t="s">
        <v>807</v>
      </c>
      <c r="E160" s="3" t="s">
        <v>808</v>
      </c>
      <c r="F160" s="1" t="s">
        <v>809</v>
      </c>
      <c r="G160" s="3">
        <f t="shared" si="42"/>
        <v>2.616710999999913</v>
      </c>
      <c r="H160" s="3">
        <f t="shared" si="44"/>
        <v>763.82656499999996</v>
      </c>
      <c r="I160" s="3">
        <f t="shared" si="45"/>
        <v>3.1897240966422415E-2</v>
      </c>
      <c r="J160" s="7">
        <f t="shared" si="46"/>
        <v>0</v>
      </c>
      <c r="M160" s="7">
        <f t="shared" si="47"/>
        <v>7966.9526015166666</v>
      </c>
      <c r="N160">
        <f t="shared" si="43"/>
        <v>0.39917800000000003</v>
      </c>
    </row>
    <row r="161" spans="4:14" x14ac:dyDescent="0.45">
      <c r="D161" s="3"/>
      <c r="E161" s="3"/>
      <c r="F161" s="1"/>
      <c r="G161" s="5"/>
      <c r="H161" s="3"/>
      <c r="I161" s="3"/>
      <c r="J161" s="7"/>
      <c r="M161" s="7"/>
    </row>
    <row r="162" spans="4:14" x14ac:dyDescent="0.45">
      <c r="D162" s="3"/>
      <c r="E162" s="3"/>
      <c r="F162" s="1"/>
      <c r="G162" s="5"/>
      <c r="H162" s="3"/>
      <c r="I162" s="3"/>
      <c r="J162" s="7"/>
      <c r="M162" s="7"/>
    </row>
    <row r="163" spans="4:14" x14ac:dyDescent="0.45">
      <c r="D163" s="3"/>
      <c r="E163" s="3"/>
      <c r="F163" s="1"/>
      <c r="G163" s="3"/>
      <c r="H163" s="3"/>
      <c r="I163" s="3"/>
      <c r="J163" s="7"/>
      <c r="M163" s="7"/>
    </row>
    <row r="164" spans="4:14" x14ac:dyDescent="0.45">
      <c r="D164" s="3"/>
      <c r="E164" s="3"/>
      <c r="J164" s="6"/>
      <c r="M164" s="6"/>
    </row>
    <row r="165" spans="4:14" x14ac:dyDescent="0.45">
      <c r="D165" s="3"/>
      <c r="E165" s="3"/>
      <c r="J165" s="6"/>
      <c r="M165" s="6"/>
    </row>
    <row r="166" spans="4:14" x14ac:dyDescent="0.45">
      <c r="D166" s="3"/>
      <c r="E166" s="3"/>
      <c r="J166" s="6"/>
      <c r="M166" s="6"/>
    </row>
    <row r="167" spans="4:14" x14ac:dyDescent="0.45">
      <c r="D167" s="3"/>
      <c r="E167" s="3"/>
      <c r="J167" s="6"/>
      <c r="M167" s="6"/>
    </row>
    <row r="168" spans="4:14" x14ac:dyDescent="0.45">
      <c r="D168" s="3"/>
      <c r="E168" s="3"/>
      <c r="J168" s="6"/>
      <c r="M168" s="6"/>
    </row>
    <row r="169" spans="4:14" x14ac:dyDescent="0.45">
      <c r="D169" s="13" t="str">
        <f>("№"&amp;B2&amp;" - "&amp;A2)</f>
        <v>№1 - Nothing</v>
      </c>
      <c r="E169" s="15"/>
      <c r="F169" s="13"/>
      <c r="G169" s="13"/>
      <c r="H169" s="13"/>
      <c r="I169" s="13"/>
      <c r="J169" s="14"/>
      <c r="K169" s="13"/>
      <c r="L169" s="13"/>
      <c r="M169" s="14"/>
      <c r="N169" s="13"/>
    </row>
    <row r="170" spans="4:14" x14ac:dyDescent="0.45">
      <c r="D170" s="12" t="s">
        <v>8</v>
      </c>
      <c r="E170" s="12" t="s">
        <v>9</v>
      </c>
      <c r="F170" s="12" t="s">
        <v>10</v>
      </c>
      <c r="G170" s="12" t="s">
        <v>346</v>
      </c>
      <c r="H170" s="12" t="s">
        <v>222</v>
      </c>
      <c r="I170" s="12" t="s">
        <v>223</v>
      </c>
      <c r="J170" s="12" t="s">
        <v>224</v>
      </c>
      <c r="K170" s="12" t="s">
        <v>225</v>
      </c>
      <c r="L170" s="12" t="s">
        <v>345</v>
      </c>
      <c r="M170" s="12" t="s">
        <v>344</v>
      </c>
      <c r="N170" s="12"/>
    </row>
    <row r="171" spans="4:14" x14ac:dyDescent="0.45">
      <c r="D171" s="3" t="s">
        <v>542</v>
      </c>
      <c r="E171" s="3" t="s">
        <v>543</v>
      </c>
      <c r="F171" s="3" t="s">
        <v>544</v>
      </c>
      <c r="G171" s="3">
        <f t="shared" ref="G171:G182" si="48">(DATEVALUE(LEFT(E171, 10))-DATEVALUE(LEFT(D171, 10))) * 86400 + (TIMEVALUE(MID(E171, 12, 8)) - TIMEVALUE(MID(D171, 12, 8))) * 86400 + (VALUE(RIGHT(E171, 6)) - VALUE(RIGHT(D171, 6))) / 1000000</f>
        <v>-0.85362000000655125</v>
      </c>
      <c r="K171" s="3" cm="1">
        <f t="array" ref="K171">((LOOKUP(2,1/(G171:G192&lt;&gt;""),G171:G192) - G171)/SUM(H172:H192)) * 60</f>
        <v>-7.0984921337922877E-2</v>
      </c>
      <c r="M171" s="21">
        <v>0</v>
      </c>
      <c r="N171">
        <f t="shared" ref="N171:N176" si="49">(MID(F171, 2, 7) + MID(F171, 12, 8)) / 2</f>
        <v>0.8536165</v>
      </c>
    </row>
    <row r="172" spans="4:14" x14ac:dyDescent="0.45">
      <c r="D172" s="3" t="s">
        <v>566</v>
      </c>
      <c r="E172" s="3" t="s">
        <v>567</v>
      </c>
      <c r="F172" s="3" t="s">
        <v>568</v>
      </c>
      <c r="G172" s="3">
        <f t="shared" si="48"/>
        <v>-1.2904619999987139</v>
      </c>
      <c r="H172" s="3">
        <f t="shared" ref="H172:H182" si="50">((DATEVALUE(LEFT(D172,10))-DATEVALUE(LEFT(D171,10)))*86400+(TIMEVALUE(MID(D172,12,8))-TIMEVALUE(MID(D171,12,8)))*86400+(VALUE(RIGHT(D172,6))-VALUE(RIGHT(D171,6)))/1000000)/ 60</f>
        <v>934.95727754999996</v>
      </c>
      <c r="I172" s="3">
        <f t="shared" ref="I172:I182" si="51">3600 * (G172-G171) / ((DATEVALUE(LEFT(D172, 10))-DATEVALUE(LEFT(D171, 10))) * 86400 + (TIMEVALUE(MID(D172, 12, 8)) - TIMEVALUE(MID(D171, 12, 8))) * 86400 + (VALUE(RIGHT(D172, 6)) - VALUE(RIGHT(D171, 6))) / 1000000)</f>
        <v>-2.8033922649613331E-2</v>
      </c>
      <c r="J172" s="7">
        <f t="shared" ref="J172:J182" si="52">(FLOOR(G172, 1) - FLOOR(G171, 1)) / H172 * 60</f>
        <v>-6.4174055265098784E-2</v>
      </c>
      <c r="M172" s="22">
        <f t="shared" ref="M172:M182" si="53">M171 + H172</f>
        <v>934.95727754999996</v>
      </c>
      <c r="N172">
        <f t="shared" si="49"/>
        <v>0.29045749999999998</v>
      </c>
    </row>
    <row r="173" spans="4:14" x14ac:dyDescent="0.45">
      <c r="D173" s="3" t="s">
        <v>582</v>
      </c>
      <c r="E173" s="3" t="s">
        <v>583</v>
      </c>
      <c r="F173" s="3" t="s">
        <v>638</v>
      </c>
      <c r="G173" s="3">
        <f t="shared" si="48"/>
        <v>-1.5396540000035102</v>
      </c>
      <c r="H173" s="3">
        <f t="shared" si="50"/>
        <v>202.07080751666669</v>
      </c>
      <c r="I173" s="3">
        <f t="shared" si="51"/>
        <v>-7.3991489339966049E-2</v>
      </c>
      <c r="J173" s="7">
        <f t="shared" si="52"/>
        <v>0</v>
      </c>
      <c r="K173" s="8" t="s">
        <v>995</v>
      </c>
      <c r="M173" s="22">
        <f t="shared" si="53"/>
        <v>1137.0280850666666</v>
      </c>
      <c r="N173">
        <f t="shared" si="49"/>
        <v>0.53965400000000008</v>
      </c>
    </row>
    <row r="174" spans="4:14" x14ac:dyDescent="0.45">
      <c r="D174" s="3" t="s">
        <v>608</v>
      </c>
      <c r="E174" s="3" t="s">
        <v>609</v>
      </c>
      <c r="F174" s="3" t="s">
        <v>610</v>
      </c>
      <c r="G174" s="3">
        <f t="shared" si="48"/>
        <v>-3.3834660000000132</v>
      </c>
      <c r="H174" s="3">
        <f t="shared" si="50"/>
        <v>604.31406919999984</v>
      </c>
      <c r="I174" s="3">
        <f t="shared" si="51"/>
        <v>-0.18306494195351461</v>
      </c>
      <c r="J174" s="7">
        <f t="shared" si="52"/>
        <v>-0.19857224267318122</v>
      </c>
      <c r="K174">
        <f>_xlfn.STDEV.P(I169:I189)</f>
        <v>3.6554792953452993E-2</v>
      </c>
      <c r="M174" s="22">
        <f t="shared" si="53"/>
        <v>1741.3421542666665</v>
      </c>
      <c r="N174">
        <f t="shared" si="49"/>
        <v>0.38346449999999999</v>
      </c>
    </row>
    <row r="175" spans="4:14" x14ac:dyDescent="0.45">
      <c r="D175" s="3" t="s">
        <v>635</v>
      </c>
      <c r="E175" s="3" t="s">
        <v>636</v>
      </c>
      <c r="F175" s="3" t="s">
        <v>637</v>
      </c>
      <c r="G175" s="3">
        <f t="shared" si="48"/>
        <v>-4.1333619999991829</v>
      </c>
      <c r="H175" s="3">
        <f t="shared" si="50"/>
        <v>672.26249480000001</v>
      </c>
      <c r="I175" s="3">
        <f t="shared" si="51"/>
        <v>-6.6928856433283473E-2</v>
      </c>
      <c r="J175" s="7">
        <f t="shared" si="52"/>
        <v>-8.9250851362532385E-2</v>
      </c>
      <c r="M175" s="22">
        <f t="shared" si="53"/>
        <v>2413.6046490666668</v>
      </c>
      <c r="N175">
        <f t="shared" si="49"/>
        <v>0.14937250000000002</v>
      </c>
    </row>
    <row r="176" spans="4:14" x14ac:dyDescent="0.45">
      <c r="D176" s="3" t="s">
        <v>645</v>
      </c>
      <c r="E176" s="3" t="s">
        <v>646</v>
      </c>
      <c r="F176" s="3" t="s">
        <v>647</v>
      </c>
      <c r="G176" s="3">
        <f t="shared" si="48"/>
        <v>-4.9772370000000814</v>
      </c>
      <c r="H176" s="3">
        <f t="shared" si="50"/>
        <v>810.73072828333329</v>
      </c>
      <c r="I176" s="3">
        <f t="shared" si="51"/>
        <v>-6.2452918378047374E-2</v>
      </c>
      <c r="J176" s="7">
        <f t="shared" si="52"/>
        <v>0</v>
      </c>
      <c r="M176" s="22">
        <f t="shared" si="53"/>
        <v>3224.3353773500003</v>
      </c>
      <c r="N176">
        <f t="shared" si="49"/>
        <v>0.99249450000000006</v>
      </c>
    </row>
    <row r="177" spans="4:14" x14ac:dyDescent="0.45">
      <c r="D177" s="3" t="s">
        <v>672</v>
      </c>
      <c r="E177" s="3" t="s">
        <v>673</v>
      </c>
      <c r="F177" s="3" t="s">
        <v>674</v>
      </c>
      <c r="G177" s="3">
        <f t="shared" si="48"/>
        <v>-5.7270480000009378</v>
      </c>
      <c r="H177" s="3">
        <f t="shared" si="50"/>
        <v>663.1291698166666</v>
      </c>
      <c r="I177" s="3">
        <f t="shared" si="51"/>
        <v>-6.7842981500103913E-2</v>
      </c>
      <c r="J177" s="7">
        <f t="shared" si="52"/>
        <v>-9.0480109654334812E-2</v>
      </c>
      <c r="M177" s="22">
        <f t="shared" si="53"/>
        <v>3887.4645471666668</v>
      </c>
      <c r="N177">
        <f t="shared" ref="N177:N183" si="54">(MID(F177, 2, 7) + MID(F177, 12, 8)) / 2</f>
        <v>0.72704550000000001</v>
      </c>
    </row>
    <row r="178" spans="4:14" x14ac:dyDescent="0.45">
      <c r="D178" s="3" t="s">
        <v>714</v>
      </c>
      <c r="E178" s="3" t="s">
        <v>715</v>
      </c>
      <c r="F178" s="3" t="s">
        <v>716</v>
      </c>
      <c r="G178" s="3">
        <f t="shared" si="48"/>
        <v>-6.539727999997897</v>
      </c>
      <c r="H178" s="3">
        <f t="shared" si="50"/>
        <v>723.01354496666659</v>
      </c>
      <c r="I178" s="3">
        <f t="shared" si="51"/>
        <v>-6.7441060183824897E-2</v>
      </c>
      <c r="J178" s="7">
        <f t="shared" si="52"/>
        <v>-8.2985997174874787E-2</v>
      </c>
      <c r="M178" s="22">
        <f t="shared" si="53"/>
        <v>4610.4780921333331</v>
      </c>
      <c r="N178">
        <f t="shared" si="54"/>
        <v>0.53972550000000008</v>
      </c>
    </row>
    <row r="179" spans="4:14" x14ac:dyDescent="0.45">
      <c r="D179" s="3" t="s">
        <v>738</v>
      </c>
      <c r="E179" s="3" t="s">
        <v>739</v>
      </c>
      <c r="F179" s="3" t="s">
        <v>740</v>
      </c>
      <c r="G179" s="3">
        <f t="shared" si="48"/>
        <v>-7.7898940000044483</v>
      </c>
      <c r="H179" s="3">
        <f t="shared" si="50"/>
        <v>1109.5708318333334</v>
      </c>
      <c r="I179" s="3">
        <f t="shared" si="51"/>
        <v>-6.7602678304416894E-2</v>
      </c>
      <c r="J179" s="7">
        <f t="shared" si="52"/>
        <v>-5.4074961488364444E-2</v>
      </c>
      <c r="M179" s="22">
        <f t="shared" si="53"/>
        <v>5720.0489239666667</v>
      </c>
      <c r="N179">
        <f t="shared" si="54"/>
        <v>0.80529249999999997</v>
      </c>
    </row>
    <row r="180" spans="4:14" x14ac:dyDescent="0.45">
      <c r="D180" s="3" t="s">
        <v>741</v>
      </c>
      <c r="E180" s="3" t="s">
        <v>742</v>
      </c>
      <c r="F180" s="3" t="s">
        <v>743</v>
      </c>
      <c r="G180" s="3">
        <f t="shared" si="48"/>
        <v>-8.3842330000002079</v>
      </c>
      <c r="H180" s="3">
        <f t="shared" si="50"/>
        <v>447.04324071666667</v>
      </c>
      <c r="I180" s="3">
        <f t="shared" si="51"/>
        <v>-7.976933046247954E-2</v>
      </c>
      <c r="J180" s="7">
        <f t="shared" si="52"/>
        <v>-0.13421520456010572</v>
      </c>
      <c r="M180" s="22">
        <f t="shared" si="53"/>
        <v>6167.0921646833331</v>
      </c>
      <c r="N180">
        <f t="shared" si="54"/>
        <v>0.38423000000000002</v>
      </c>
    </row>
    <row r="181" spans="4:14" x14ac:dyDescent="0.45">
      <c r="D181" s="3" t="s">
        <v>780</v>
      </c>
      <c r="E181" s="3" t="s">
        <v>781</v>
      </c>
      <c r="F181" s="3" t="s">
        <v>782</v>
      </c>
      <c r="G181" s="3">
        <f t="shared" si="48"/>
        <v>-9.071110000007959</v>
      </c>
      <c r="H181" s="3">
        <f t="shared" si="50"/>
        <v>640.02811351666662</v>
      </c>
      <c r="I181" s="3">
        <f t="shared" si="51"/>
        <v>-6.4391890184354955E-2</v>
      </c>
      <c r="J181" s="7">
        <f t="shared" si="52"/>
        <v>-9.3745881989975383E-2</v>
      </c>
      <c r="M181" s="22">
        <f t="shared" si="53"/>
        <v>6807.1202782</v>
      </c>
      <c r="N181">
        <f t="shared" si="54"/>
        <v>7.1105500000000002E-2</v>
      </c>
    </row>
    <row r="182" spans="4:14" x14ac:dyDescent="0.45">
      <c r="D182" s="3" t="s">
        <v>795</v>
      </c>
      <c r="E182" s="3" t="s">
        <v>796</v>
      </c>
      <c r="F182" s="3" t="s">
        <v>797</v>
      </c>
      <c r="G182" s="3">
        <f t="shared" si="48"/>
        <v>-9.7903639999995651</v>
      </c>
      <c r="H182" s="3">
        <f t="shared" si="50"/>
        <v>746.66198841666653</v>
      </c>
      <c r="I182" s="3">
        <f t="shared" si="51"/>
        <v>-5.7797558559274154E-2</v>
      </c>
      <c r="J182" s="7">
        <f t="shared" si="52"/>
        <v>0</v>
      </c>
      <c r="M182" s="22">
        <f t="shared" si="53"/>
        <v>7553.7822666166667</v>
      </c>
      <c r="N182">
        <f t="shared" si="54"/>
        <v>0.80518749999999994</v>
      </c>
    </row>
    <row r="183" spans="4:14" x14ac:dyDescent="0.45">
      <c r="D183" s="3" t="s">
        <v>1308</v>
      </c>
      <c r="E183" s="3" t="s">
        <v>1309</v>
      </c>
      <c r="F183" s="3" t="s">
        <v>1310</v>
      </c>
      <c r="M183" s="21"/>
      <c r="N183">
        <f t="shared" si="54"/>
        <v>8.6387500000000006E-2</v>
      </c>
    </row>
    <row r="184" spans="4:14" x14ac:dyDescent="0.45">
      <c r="D184" s="3"/>
      <c r="E184" s="3"/>
      <c r="F184" s="3"/>
      <c r="M184" s="21"/>
    </row>
    <row r="185" spans="4:14" x14ac:dyDescent="0.45">
      <c r="D185" s="3"/>
      <c r="E185" s="3"/>
      <c r="F185" s="3"/>
      <c r="M185" s="21"/>
    </row>
    <row r="186" spans="4:14" x14ac:dyDescent="0.45">
      <c r="D186" s="3"/>
      <c r="E186" s="3"/>
      <c r="F186" s="3"/>
      <c r="M186" s="21"/>
    </row>
    <row r="187" spans="4:14" x14ac:dyDescent="0.45">
      <c r="D187" s="3"/>
      <c r="E187" s="3"/>
      <c r="F187" s="3"/>
      <c r="M187" s="21"/>
    </row>
    <row r="188" spans="4:14" x14ac:dyDescent="0.45">
      <c r="D188" s="3"/>
      <c r="E188" s="3"/>
      <c r="F188" s="3"/>
      <c r="M188" s="21"/>
    </row>
    <row r="189" spans="4:14" x14ac:dyDescent="0.45">
      <c r="D189" s="3"/>
      <c r="E189" s="3"/>
      <c r="F189" s="3"/>
      <c r="M189" s="21"/>
    </row>
    <row r="190" spans="4:14" x14ac:dyDescent="0.45">
      <c r="D190" s="3"/>
      <c r="E190" s="3"/>
      <c r="F190" s="3"/>
      <c r="M190" s="21"/>
    </row>
    <row r="191" spans="4:14" x14ac:dyDescent="0.45">
      <c r="D191" s="3"/>
      <c r="E191" s="3"/>
      <c r="F191" s="3"/>
      <c r="M191" s="21"/>
    </row>
    <row r="192" spans="4:14" x14ac:dyDescent="0.45">
      <c r="D192" s="3"/>
      <c r="E192" s="3"/>
      <c r="F192" s="3"/>
      <c r="M192" s="21"/>
    </row>
    <row r="193" spans="4:13" x14ac:dyDescent="0.45">
      <c r="D193" s="3"/>
      <c r="E193" s="3"/>
      <c r="F193" s="3"/>
      <c r="M193" s="21"/>
    </row>
    <row r="194" spans="4:13" x14ac:dyDescent="0.45">
      <c r="D194" s="3"/>
      <c r="E194" s="3"/>
      <c r="F194" s="3"/>
      <c r="M194" s="21"/>
    </row>
    <row r="195" spans="4:13" x14ac:dyDescent="0.45">
      <c r="D195" s="3"/>
      <c r="E195" s="3"/>
      <c r="F195" s="3"/>
      <c r="M195" s="21"/>
    </row>
    <row r="196" spans="4:13" x14ac:dyDescent="0.45">
      <c r="D196" s="3"/>
      <c r="E196" s="3"/>
      <c r="F196" s="3"/>
      <c r="M196" s="21"/>
    </row>
    <row r="197" spans="4:13" x14ac:dyDescent="0.45">
      <c r="D197" s="3"/>
      <c r="E197" s="3"/>
      <c r="F197" s="3"/>
      <c r="M197" s="21"/>
    </row>
    <row r="198" spans="4:13" x14ac:dyDescent="0.45">
      <c r="D198" s="3"/>
      <c r="E198" s="3"/>
      <c r="F198" s="3"/>
      <c r="M198" s="21"/>
    </row>
    <row r="199" spans="4:13" x14ac:dyDescent="0.45">
      <c r="D199" s="3"/>
      <c r="E199" s="3"/>
      <c r="F199" s="3"/>
      <c r="M199" s="21"/>
    </row>
    <row r="200" spans="4:13" x14ac:dyDescent="0.45">
      <c r="M200" s="21"/>
    </row>
    <row r="201" spans="4:13" x14ac:dyDescent="0.45">
      <c r="M201" s="21"/>
    </row>
    <row r="202" spans="4:13" x14ac:dyDescent="0.45">
      <c r="M202" s="21"/>
    </row>
    <row r="203" spans="4:13" x14ac:dyDescent="0.45">
      <c r="M203" s="21"/>
    </row>
    <row r="204" spans="4:13" x14ac:dyDescent="0.45">
      <c r="M204" s="21"/>
    </row>
    <row r="205" spans="4:13" x14ac:dyDescent="0.45">
      <c r="M205" s="21"/>
    </row>
    <row r="206" spans="4:13" x14ac:dyDescent="0.45">
      <c r="M206" s="21"/>
    </row>
    <row r="207" spans="4:13" x14ac:dyDescent="0.45">
      <c r="M207" s="21"/>
    </row>
    <row r="208" spans="4:13" x14ac:dyDescent="0.45">
      <c r="M208" s="21"/>
    </row>
    <row r="209" spans="1:13" x14ac:dyDescent="0.45">
      <c r="M209" s="21"/>
    </row>
    <row r="210" spans="1:13" x14ac:dyDescent="0.45">
      <c r="M210" s="21"/>
    </row>
    <row r="211" spans="1:13" x14ac:dyDescent="0.45">
      <c r="M211" s="21"/>
    </row>
    <row r="212" spans="1:13" x14ac:dyDescent="0.45">
      <c r="M212" s="21"/>
    </row>
    <row r="213" spans="1:13" x14ac:dyDescent="0.45">
      <c r="M213" s="21"/>
    </row>
    <row r="214" spans="1:13" x14ac:dyDescent="0.45">
      <c r="M214" s="21"/>
    </row>
    <row r="215" spans="1:13" x14ac:dyDescent="0.45">
      <c r="M215" s="21"/>
    </row>
    <row r="220" spans="1:13" x14ac:dyDescent="0.45">
      <c r="A220" s="2" t="s">
        <v>393</v>
      </c>
      <c r="B220" s="2" t="s">
        <v>394</v>
      </c>
      <c r="C220" s="1" t="s">
        <v>395</v>
      </c>
      <c r="D220" s="4">
        <f t="shared" ref="D220:D225" si="55">(DATEVALUE(LEFT(B220, 10))-DATEVALUE(LEFT(A220, 10))) * 86400 + (TIMEVALUE(MID(B220, 12, 8)) - TIMEVALUE(MID(A220, 12, 8))) * 86400 + (VALUE(RIGHT(B220, 6)) - VALUE(RIGHT(A220, 6))) / 1000000</f>
        <v>44.303361000000486</v>
      </c>
    </row>
    <row r="221" spans="1:13" x14ac:dyDescent="0.45">
      <c r="A221" s="2" t="s">
        <v>396</v>
      </c>
      <c r="B221" s="2" t="s">
        <v>397</v>
      </c>
      <c r="C221" s="1" t="s">
        <v>398</v>
      </c>
      <c r="D221" s="4">
        <f t="shared" si="55"/>
        <v>44.303975000000484</v>
      </c>
    </row>
    <row r="222" spans="1:13" x14ac:dyDescent="0.45">
      <c r="A222" s="2" t="s">
        <v>399</v>
      </c>
      <c r="B222" s="2" t="s">
        <v>400</v>
      </c>
      <c r="C222" s="1" t="s">
        <v>401</v>
      </c>
      <c r="D222" s="4">
        <f t="shared" si="55"/>
        <v>44.272670000000481</v>
      </c>
    </row>
    <row r="223" spans="1:13" x14ac:dyDescent="0.45">
      <c r="A223" s="2" t="s">
        <v>420</v>
      </c>
      <c r="B223" s="2" t="s">
        <v>421</v>
      </c>
      <c r="C223" s="1" t="s">
        <v>422</v>
      </c>
      <c r="D223" s="4">
        <f t="shared" si="55"/>
        <v>44.241192000000481</v>
      </c>
    </row>
    <row r="224" spans="1:13" x14ac:dyDescent="0.45">
      <c r="A224" s="2" t="s">
        <v>423</v>
      </c>
      <c r="B224" s="2" t="s">
        <v>424</v>
      </c>
      <c r="C224" s="1" t="s">
        <v>425</v>
      </c>
      <c r="D224" s="4">
        <f t="shared" si="55"/>
        <v>44.115993999999993</v>
      </c>
    </row>
    <row r="225" spans="1:4" x14ac:dyDescent="0.45">
      <c r="A225" s="2" t="s">
        <v>467</v>
      </c>
      <c r="B225" s="2" t="s">
        <v>468</v>
      </c>
      <c r="C225" s="1" t="s">
        <v>469</v>
      </c>
      <c r="D225" s="5">
        <f t="shared" si="55"/>
        <v>-0.91495600000055599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736D-DBD5-4DCE-8477-029663A97D85}">
  <sheetPr filterMode="1"/>
  <dimension ref="A1:AO894"/>
  <sheetViews>
    <sheetView tabSelected="1" topLeftCell="H1" zoomScale="78" zoomScaleNormal="115" workbookViewId="0">
      <selection activeCell="K17" sqref="K17"/>
    </sheetView>
  </sheetViews>
  <sheetFormatPr defaultRowHeight="14.25" x14ac:dyDescent="0.45"/>
  <cols>
    <col min="1" max="1" width="22.53125" customWidth="1"/>
    <col min="2" max="2" width="16.46484375" customWidth="1"/>
    <col min="4" max="4" width="24.59765625" customWidth="1"/>
    <col min="5" max="5" width="24.33203125" customWidth="1"/>
    <col min="6" max="6" width="18.06640625" customWidth="1"/>
    <col min="7" max="7" width="10.6640625" customWidth="1"/>
    <col min="8" max="8" width="17.73046875" customWidth="1"/>
    <col min="9" max="9" width="22.6640625" customWidth="1"/>
    <col min="10" max="10" width="14.9296875" customWidth="1"/>
    <col min="11" max="11" width="18.6640625" customWidth="1"/>
    <col min="12" max="12" width="15.59765625" customWidth="1"/>
    <col min="13" max="13" width="20.46484375" customWidth="1"/>
    <col min="14" max="14" width="10.796875" customWidth="1"/>
    <col min="16" max="16" width="13.3984375" customWidth="1"/>
    <col min="18" max="18" width="12.9296875" customWidth="1"/>
    <col min="22" max="22" width="9.265625" bestFit="1" customWidth="1"/>
    <col min="24" max="24" width="21.86328125" customWidth="1"/>
    <col min="25" max="25" width="23.53125" customWidth="1"/>
    <col min="26" max="26" width="23.06640625" customWidth="1"/>
    <col min="27" max="27" width="12.06640625" customWidth="1"/>
    <col min="28" max="28" width="11.796875" customWidth="1"/>
    <col min="29" max="29" width="18.6640625" customWidth="1"/>
    <col min="30" max="30" width="19.06640625" customWidth="1"/>
    <col min="31" max="31" width="20.265625" customWidth="1"/>
  </cols>
  <sheetData>
    <row r="1" spans="1:41" x14ac:dyDescent="0.45">
      <c r="A1" s="9" t="s">
        <v>0</v>
      </c>
      <c r="B1" s="9" t="s">
        <v>1</v>
      </c>
      <c r="C1" s="1"/>
      <c r="D1" s="12" t="str">
        <f>("№"&amp;B3&amp;" - "&amp;A3)</f>
        <v>№2 - Blue tape</v>
      </c>
      <c r="E1" s="12"/>
      <c r="F1" s="12"/>
      <c r="G1" s="12"/>
      <c r="H1" s="13"/>
      <c r="I1" s="13"/>
      <c r="J1" s="13"/>
      <c r="K1" s="13"/>
      <c r="L1" s="13"/>
      <c r="M1" s="13"/>
      <c r="N1" s="13"/>
      <c r="AO1" cm="1">
        <f t="array" ref="AO1:AO298">Test1!N3:N300</f>
        <v>0.82083250000000008</v>
      </c>
    </row>
    <row r="2" spans="1:41" x14ac:dyDescent="0.45">
      <c r="A2" s="9" t="s">
        <v>13</v>
      </c>
      <c r="B2" s="9">
        <v>1</v>
      </c>
      <c r="C2" s="1"/>
      <c r="D2" s="12" t="s">
        <v>8</v>
      </c>
      <c r="E2" s="12" t="s">
        <v>9</v>
      </c>
      <c r="F2" s="12" t="s">
        <v>10</v>
      </c>
      <c r="G2" s="12" t="s">
        <v>346</v>
      </c>
      <c r="H2" s="12" t="s">
        <v>222</v>
      </c>
      <c r="I2" s="12" t="s">
        <v>223</v>
      </c>
      <c r="J2" s="12" t="s">
        <v>224</v>
      </c>
      <c r="K2" s="12" t="s">
        <v>225</v>
      </c>
      <c r="L2" s="12" t="s">
        <v>345</v>
      </c>
      <c r="M2" s="12" t="s">
        <v>344</v>
      </c>
      <c r="N2" s="12" t="s">
        <v>10</v>
      </c>
      <c r="X2" s="18" t="s">
        <v>338</v>
      </c>
      <c r="Y2" s="18" t="s">
        <v>513</v>
      </c>
      <c r="Z2" s="18" t="s">
        <v>514</v>
      </c>
      <c r="AA2" s="18" t="s">
        <v>516</v>
      </c>
      <c r="AB2" s="18" t="s">
        <v>515</v>
      </c>
      <c r="AC2" s="18" t="s">
        <v>569</v>
      </c>
      <c r="AD2" s="18" t="s">
        <v>570</v>
      </c>
      <c r="AE2" s="18" t="s">
        <v>571</v>
      </c>
      <c r="AO2">
        <v>0.649976</v>
      </c>
    </row>
    <row r="3" spans="1:41" x14ac:dyDescent="0.45">
      <c r="A3" s="9" t="s">
        <v>14</v>
      </c>
      <c r="B3" s="9">
        <v>2</v>
      </c>
      <c r="C3" s="1"/>
      <c r="D3" s="3" t="s">
        <v>820</v>
      </c>
      <c r="E3" s="3" t="s">
        <v>821</v>
      </c>
      <c r="F3" s="3" t="s">
        <v>822</v>
      </c>
      <c r="G3" s="4">
        <f t="shared" ref="G3:G33" si="0">(DATEVALUE(LEFT(E3, 10))-DATEVALUE(LEFT(D3, 10))) * 86400 + (TIMEVALUE(MID(E3, 12, 8)) - TIMEVALUE(MID(D3, 12, 8))) * 86400 + (VALUE(RIGHT(E3, 6)) - VALUE(RIGHT(D3, 6))) / 1000000</f>
        <v>-0.82083599999935697</v>
      </c>
      <c r="J3" s="6"/>
      <c r="K3" s="3" cm="1">
        <f t="array" ref="K3">((LOOKUP(2,1/(G3:G24&lt;&gt;""),G3:G24) - G3)/SUM(H4:H35)) * 60</f>
        <v>-3.7513905006906198E-2</v>
      </c>
      <c r="L3" s="3">
        <f>((FLOOR(MAX(G3:G35), 1)-FLOOR(MIN(G3:G35), 1))/SUM(H4:H35)) * 60</f>
        <v>6.0272761699594217E-2</v>
      </c>
      <c r="M3" s="6">
        <v>0</v>
      </c>
      <c r="N3">
        <f t="shared" ref="N3:N33" si="1">(MID(F3, 2, 7) + MID(F3, 12, 8)) / 2</f>
        <v>0.82083250000000008</v>
      </c>
      <c r="X3" s="18" t="s">
        <v>505</v>
      </c>
      <c r="Y3" s="19">
        <f>Uncalibrated!K171</f>
        <v>0.83394773800286059</v>
      </c>
      <c r="Z3" s="18">
        <f>267 * 0.9537 * 3600 / 1000000</f>
        <v>0.91669644000000006</v>
      </c>
      <c r="AA3" s="19">
        <f>Y3-Z3</f>
        <v>-8.2748701997139462E-2</v>
      </c>
      <c r="AB3" s="20">
        <f>K241</f>
        <v>-6.7505191809261206E-2</v>
      </c>
      <c r="AC3" s="19">
        <f>(1 - ABS(AB3)/ABS(Y3)) * 100</f>
        <v>91.90534505544403</v>
      </c>
      <c r="AD3" s="19">
        <f>Y3 - AB3</f>
        <v>0.90145292981212177</v>
      </c>
      <c r="AE3" s="19">
        <f>AVERAGE(AD3:AD10)</f>
        <v>0.9036787588714994</v>
      </c>
      <c r="AO3">
        <v>0.1182735</v>
      </c>
    </row>
    <row r="4" spans="1:41" x14ac:dyDescent="0.45">
      <c r="A4" s="9" t="s">
        <v>2</v>
      </c>
      <c r="B4" s="9">
        <v>3</v>
      </c>
      <c r="C4" s="1"/>
      <c r="D4" s="3" t="s">
        <v>851</v>
      </c>
      <c r="E4" s="3" t="s">
        <v>852</v>
      </c>
      <c r="F4" s="3" t="s">
        <v>853</v>
      </c>
      <c r="G4" s="4">
        <f t="shared" si="0"/>
        <v>-1.6336590000035101</v>
      </c>
      <c r="H4" s="3">
        <f t="shared" ref="H4:H33" si="2">((DATEVALUE(LEFT(D4,10))-DATEVALUE(LEFT(D3,10)))*86400+(TIMEVALUE(MID(D4,12,8))-TIMEVALUE(MID(D3,12,8)))*86400+(VALUE(RIGHT(D4,6))-VALUE(RIGHT(D3,6)))/1000000)/ 60</f>
        <v>813.54688473333351</v>
      </c>
      <c r="I4" s="3">
        <f t="shared" ref="I4:I10" si="3">(G4 - G3) / H4 * 60</f>
        <v>-5.9946612685063551E-2</v>
      </c>
      <c r="J4" s="7">
        <f t="shared" ref="J4:J10" si="4">(FLOOR(G4, 1) - FLOOR(G3, 1)) / H4 * 60</f>
        <v>-7.3751127471487946E-2</v>
      </c>
      <c r="L4" s="3"/>
      <c r="M4" s="7">
        <f t="shared" ref="M4:M10" si="5">M3 + H4</f>
        <v>813.54688473333351</v>
      </c>
      <c r="N4">
        <f t="shared" si="1"/>
        <v>0.649976</v>
      </c>
      <c r="X4" s="18" t="s">
        <v>506</v>
      </c>
      <c r="Y4" s="19">
        <f>Uncalibrated!K3</f>
        <v>0.84065638870564696</v>
      </c>
      <c r="Z4" s="18">
        <f t="shared" ref="Z4:Z10" si="6">267 * 0.9537 * 3600 / 1000000</f>
        <v>0.91669644000000006</v>
      </c>
      <c r="AA4" s="19">
        <f t="shared" ref="AA4:AA10" si="7">Y4-Z4</f>
        <v>-7.6040051294353095E-2</v>
      </c>
      <c r="AB4" s="19">
        <f>K3</f>
        <v>-3.7513905006906198E-2</v>
      </c>
      <c r="AC4" s="19">
        <f t="shared" ref="AC4:AC10" si="8">(1 - ABS(AB4)/ABS(Y4)) * 100</f>
        <v>95.537545956836638</v>
      </c>
      <c r="AD4" s="19">
        <f t="shared" ref="AD4:AD10" si="9">Y4 - AB4</f>
        <v>0.87817029371255317</v>
      </c>
      <c r="AE4" s="18"/>
      <c r="AO4">
        <v>0.2742945</v>
      </c>
    </row>
    <row r="5" spans="1:41" x14ac:dyDescent="0.45">
      <c r="A5" s="9" t="s">
        <v>3</v>
      </c>
      <c r="B5" s="9">
        <v>4</v>
      </c>
      <c r="C5" s="1"/>
      <c r="D5" s="3" t="s">
        <v>896</v>
      </c>
      <c r="E5" s="3" t="s">
        <v>897</v>
      </c>
      <c r="F5" s="3" t="s">
        <v>898</v>
      </c>
      <c r="G5" s="4">
        <f t="shared" si="0"/>
        <v>-2.1020440000004692</v>
      </c>
      <c r="H5" s="3">
        <f t="shared" si="2"/>
        <v>527.97447163333322</v>
      </c>
      <c r="I5" s="3">
        <f t="shared" si="3"/>
        <v>-5.3228141718440015E-2</v>
      </c>
      <c r="J5" s="7">
        <f t="shared" si="4"/>
        <v>-0.11364185812693742</v>
      </c>
      <c r="K5" t="s">
        <v>340</v>
      </c>
      <c r="M5" s="7">
        <f t="shared" si="5"/>
        <v>1341.5213563666666</v>
      </c>
      <c r="N5">
        <f t="shared" si="1"/>
        <v>0.1182735</v>
      </c>
      <c r="X5" s="18" t="s">
        <v>507</v>
      </c>
      <c r="Y5" s="19">
        <f>Uncalibrated!K27</f>
        <v>0.86424537238464816</v>
      </c>
      <c r="Z5" s="18">
        <f t="shared" si="6"/>
        <v>0.91669644000000006</v>
      </c>
      <c r="AA5" s="19">
        <f t="shared" si="7"/>
        <v>-5.2451067615351898E-2</v>
      </c>
      <c r="AB5" s="19">
        <f>K37</f>
        <v>-2.6391254456023701E-2</v>
      </c>
      <c r="AC5" s="19">
        <f t="shared" si="8"/>
        <v>96.946323891419368</v>
      </c>
      <c r="AD5" s="19">
        <f t="shared" si="9"/>
        <v>0.89063662684067191</v>
      </c>
      <c r="AE5" s="18" t="s">
        <v>572</v>
      </c>
      <c r="AO5">
        <v>0.58624199999999993</v>
      </c>
    </row>
    <row r="6" spans="1:41" x14ac:dyDescent="0.45">
      <c r="A6" s="9" t="s">
        <v>4</v>
      </c>
      <c r="B6" s="9">
        <v>5</v>
      </c>
      <c r="C6" s="1"/>
      <c r="D6" s="3" t="s">
        <v>902</v>
      </c>
      <c r="E6" s="3" t="s">
        <v>903</v>
      </c>
      <c r="F6" s="3" t="s">
        <v>904</v>
      </c>
      <c r="G6" s="4">
        <f t="shared" si="0"/>
        <v>-2.2586240000004691</v>
      </c>
      <c r="H6" s="3">
        <f t="shared" si="2"/>
        <v>1346.6026183166666</v>
      </c>
      <c r="I6" s="3">
        <f t="shared" si="3"/>
        <v>-6.9766684485910594E-3</v>
      </c>
      <c r="J6" s="7">
        <f t="shared" si="4"/>
        <v>0</v>
      </c>
      <c r="K6" s="3">
        <f>(MAX(G3:G24)/(DATEDIF(VALUE(DATE(2000 + MID(B12, 1, 2), MID(B12, 4, 2), MID(B12, 7, 2))),VALUE(MID(D3, 1, 10)),"d")*(60*24)+(TIMEVALUE(MID(D3,12,8))-TIMEVALUE(RIGHT(B12,8))*24*60+MID(D3,21,6)/86400000+MAX(M3:M35)))) * 60</f>
        <v>-2.0694868177146357E-3</v>
      </c>
      <c r="L6" s="3"/>
      <c r="M6" s="7">
        <f t="shared" si="5"/>
        <v>2688.1239746833335</v>
      </c>
      <c r="N6">
        <f t="shared" si="1"/>
        <v>0.2742945</v>
      </c>
      <c r="X6" s="18" t="s">
        <v>508</v>
      </c>
      <c r="Y6" s="19">
        <f>Uncalibrated!K51</f>
        <v>0.86373194988908797</v>
      </c>
      <c r="Z6" s="18">
        <f t="shared" si="6"/>
        <v>0.91669644000000006</v>
      </c>
      <c r="AA6" s="19">
        <f t="shared" si="7"/>
        <v>-5.2964490110912088E-2</v>
      </c>
      <c r="AB6" s="19">
        <f>K71</f>
        <v>-4.2784194635179733E-2</v>
      </c>
      <c r="AC6" s="19">
        <f t="shared" si="8"/>
        <v>95.046588858884562</v>
      </c>
      <c r="AD6" s="19">
        <f t="shared" si="9"/>
        <v>0.90651614452426765</v>
      </c>
      <c r="AE6" s="19">
        <f>(Z3 / AE3) * 100</f>
        <v>101.44052087101802</v>
      </c>
      <c r="AO6">
        <v>0.88397100000000006</v>
      </c>
    </row>
    <row r="7" spans="1:41" x14ac:dyDescent="0.45">
      <c r="A7" s="9" t="s">
        <v>5</v>
      </c>
      <c r="B7" s="9">
        <v>6</v>
      </c>
      <c r="C7" s="1"/>
      <c r="D7" s="3" t="s">
        <v>939</v>
      </c>
      <c r="E7" s="3" t="s">
        <v>940</v>
      </c>
      <c r="F7" s="3" t="s">
        <v>941</v>
      </c>
      <c r="G7" s="4">
        <f t="shared" si="0"/>
        <v>-4.5707139999943864</v>
      </c>
      <c r="H7" s="3">
        <f t="shared" si="2"/>
        <v>1271.8718582500001</v>
      </c>
      <c r="I7" s="3">
        <f t="shared" si="3"/>
        <v>-0.10907183699347728</v>
      </c>
      <c r="J7" s="7">
        <f t="shared" si="4"/>
        <v>-9.4349127407466163E-2</v>
      </c>
      <c r="M7" s="7">
        <f t="shared" si="5"/>
        <v>3959.9958329333335</v>
      </c>
      <c r="N7">
        <f t="shared" si="1"/>
        <v>0.58624199999999993</v>
      </c>
      <c r="X7" s="18" t="s">
        <v>509</v>
      </c>
      <c r="Y7" s="19">
        <f>Uncalibrated!K75</f>
        <v>0.90240489335996865</v>
      </c>
      <c r="Z7" s="18">
        <f t="shared" si="6"/>
        <v>0.91669644000000006</v>
      </c>
      <c r="AA7" s="19">
        <f t="shared" si="7"/>
        <v>-1.4291546640031405E-2</v>
      </c>
      <c r="AB7" s="19">
        <f>K105</f>
        <v>-2.3552926477087479E-3</v>
      </c>
      <c r="AC7" s="19">
        <f t="shared" si="8"/>
        <v>99.738998240696688</v>
      </c>
      <c r="AD7" s="19">
        <f t="shared" si="9"/>
        <v>0.90476018600767738</v>
      </c>
      <c r="AE7" s="18"/>
      <c r="AO7">
        <v>0.24302000000000001</v>
      </c>
    </row>
    <row r="8" spans="1:41" x14ac:dyDescent="0.45">
      <c r="A8" s="9" t="s">
        <v>6</v>
      </c>
      <c r="B8" s="9">
        <v>7</v>
      </c>
      <c r="C8" s="1"/>
      <c r="D8" s="3" t="s">
        <v>965</v>
      </c>
      <c r="E8" s="3" t="s">
        <v>966</v>
      </c>
      <c r="F8" s="3" t="s">
        <v>967</v>
      </c>
      <c r="G8" s="4">
        <f t="shared" si="0"/>
        <v>-4.8839749999997828</v>
      </c>
      <c r="H8" s="3">
        <f t="shared" si="2"/>
        <v>328.65521055000005</v>
      </c>
      <c r="I8" s="3">
        <f t="shared" si="3"/>
        <v>-5.7189599911924412E-2</v>
      </c>
      <c r="J8" s="7">
        <f t="shared" si="4"/>
        <v>0</v>
      </c>
      <c r="K8" s="8" t="s">
        <v>995</v>
      </c>
      <c r="M8" s="7">
        <f t="shared" si="5"/>
        <v>4288.6510434833335</v>
      </c>
      <c r="N8">
        <f t="shared" si="1"/>
        <v>0.88397100000000006</v>
      </c>
      <c r="X8" s="18" t="s">
        <v>510</v>
      </c>
      <c r="Y8" s="19">
        <f>Uncalibrated!K99</f>
        <v>0.98479346875129592</v>
      </c>
      <c r="Z8" s="18">
        <f t="shared" si="6"/>
        <v>0.91669644000000006</v>
      </c>
      <c r="AA8" s="19">
        <f t="shared" si="7"/>
        <v>6.8097028751295863E-2</v>
      </c>
      <c r="AB8" s="19">
        <f>K139</f>
        <v>4.9288934779184522E-2</v>
      </c>
      <c r="AC8" s="19">
        <f t="shared" si="8"/>
        <v>94.994997799723208</v>
      </c>
      <c r="AD8" s="19">
        <f t="shared" si="9"/>
        <v>0.93550453397211142</v>
      </c>
      <c r="AE8" s="18"/>
      <c r="AO8">
        <v>0.44626300000000002</v>
      </c>
    </row>
    <row r="9" spans="1:41" x14ac:dyDescent="0.45">
      <c r="A9" s="9" t="s">
        <v>7</v>
      </c>
      <c r="B9" s="9">
        <v>8</v>
      </c>
      <c r="C9" s="1"/>
      <c r="D9" s="2" t="s">
        <v>974</v>
      </c>
      <c r="E9" s="2" t="s">
        <v>975</v>
      </c>
      <c r="F9" s="2" t="s">
        <v>976</v>
      </c>
      <c r="G9" s="4">
        <f t="shared" si="0"/>
        <v>-4.2277259999991825</v>
      </c>
      <c r="H9" s="3">
        <f t="shared" si="2"/>
        <v>513.87242034999997</v>
      </c>
      <c r="I9" s="3">
        <f t="shared" si="3"/>
        <v>7.6623960424296811E-2</v>
      </c>
      <c r="J9" s="7">
        <f t="shared" si="4"/>
        <v>0</v>
      </c>
      <c r="K9">
        <f>_xlfn.STDEV.P(I4:I24)</f>
        <v>4.8964491778245155E-2</v>
      </c>
      <c r="M9" s="7">
        <f t="shared" si="5"/>
        <v>4802.5234638333332</v>
      </c>
      <c r="N9">
        <f t="shared" si="1"/>
        <v>0.24302000000000001</v>
      </c>
      <c r="X9" s="18" t="s">
        <v>511</v>
      </c>
      <c r="Y9" s="19">
        <f>Uncalibrated!K123</f>
        <v>1.023336653963606</v>
      </c>
      <c r="Z9" s="18">
        <f t="shared" si="6"/>
        <v>0.91669644000000006</v>
      </c>
      <c r="AA9" s="19">
        <f t="shared" si="7"/>
        <v>0.1066402139636059</v>
      </c>
      <c r="AB9" s="19">
        <f>K173</f>
        <v>0.11728172092747355</v>
      </c>
      <c r="AC9" s="19">
        <f t="shared" si="8"/>
        <v>88.539282701033343</v>
      </c>
      <c r="AD9" s="19">
        <f t="shared" si="9"/>
        <v>0.90605493303613238</v>
      </c>
      <c r="AE9" s="18"/>
      <c r="AO9">
        <v>2.4022500000000002E-2</v>
      </c>
    </row>
    <row r="10" spans="1:41" x14ac:dyDescent="0.45">
      <c r="A10" s="10" t="s">
        <v>338</v>
      </c>
      <c r="B10" s="11" t="s">
        <v>339</v>
      </c>
      <c r="D10" s="3" t="s">
        <v>1005</v>
      </c>
      <c r="E10" s="3" t="s">
        <v>1006</v>
      </c>
      <c r="F10" s="2" t="s">
        <v>1019</v>
      </c>
      <c r="G10" s="4">
        <f t="shared" si="0"/>
        <v>-4.4462630000039791</v>
      </c>
      <c r="H10" s="3">
        <f t="shared" si="2"/>
        <v>228.20363470000001</v>
      </c>
      <c r="I10" s="3">
        <f t="shared" si="3"/>
        <v>-5.7458418738708175E-2</v>
      </c>
      <c r="J10" s="7">
        <f t="shared" si="4"/>
        <v>0</v>
      </c>
      <c r="M10" s="7">
        <f t="shared" si="5"/>
        <v>5030.7270985333334</v>
      </c>
      <c r="N10">
        <f t="shared" si="1"/>
        <v>0.44626300000000002</v>
      </c>
      <c r="X10" s="18" t="s">
        <v>512</v>
      </c>
      <c r="Y10" s="19">
        <f>Uncalibrated!K147</f>
        <v>0.93265426291504439</v>
      </c>
      <c r="Z10" s="18">
        <f t="shared" si="6"/>
        <v>0.91669644000000006</v>
      </c>
      <c r="AA10" s="19">
        <f t="shared" si="7"/>
        <v>1.5957822915044328E-2</v>
      </c>
      <c r="AB10" s="19">
        <f>K207</f>
        <v>2.631983984858529E-2</v>
      </c>
      <c r="AC10" s="19">
        <f t="shared" si="8"/>
        <v>97.177963914910791</v>
      </c>
      <c r="AD10" s="19">
        <f t="shared" si="9"/>
        <v>0.90633442306645906</v>
      </c>
      <c r="AE10" s="18"/>
      <c r="AO10">
        <v>0.53957049999999995</v>
      </c>
    </row>
    <row r="11" spans="1:41" x14ac:dyDescent="0.45">
      <c r="A11" s="10" t="str">
        <f>("№"&amp;B2&amp;" - "&amp;A2)</f>
        <v>№1 - Nothing</v>
      </c>
      <c r="B11" s="11" t="s">
        <v>835</v>
      </c>
      <c r="D11" s="3" t="s">
        <v>1035</v>
      </c>
      <c r="E11" s="3" t="s">
        <v>1036</v>
      </c>
      <c r="F11" s="2" t="s">
        <v>1037</v>
      </c>
      <c r="G11" s="4">
        <f t="shared" si="0"/>
        <v>-7.0084379999996518</v>
      </c>
      <c r="H11" s="3">
        <f t="shared" si="2"/>
        <v>695.87603364999995</v>
      </c>
      <c r="I11" s="3">
        <f t="shared" ref="I11:I33" si="10">(G11 - G10) / H11 * 60</f>
        <v>-0.22091650317858358</v>
      </c>
      <c r="J11" s="7">
        <f t="shared" ref="J11:J33" si="11">(FLOOR(G11, 1) - FLOOR(G10, 1)) / H11 * 60</f>
        <v>-0.25866676145730488</v>
      </c>
      <c r="M11" s="7">
        <f t="shared" ref="M11:M33" si="12">M10 + H11</f>
        <v>5726.6031321833334</v>
      </c>
      <c r="N11">
        <f t="shared" si="1"/>
        <v>2.4022500000000002E-2</v>
      </c>
      <c r="AO11">
        <v>0.773675</v>
      </c>
    </row>
    <row r="12" spans="1:41" x14ac:dyDescent="0.45">
      <c r="A12" s="11" t="str">
        <f t="shared" ref="A12:A18" si="13">("№"&amp;B3&amp;" - "&amp;A3)</f>
        <v>№2 - Blue tape</v>
      </c>
      <c r="B12" s="11" t="s">
        <v>819</v>
      </c>
      <c r="D12" s="3" t="s">
        <v>1047</v>
      </c>
      <c r="E12" s="3" t="s">
        <v>1048</v>
      </c>
      <c r="F12" s="2" t="s">
        <v>1049</v>
      </c>
      <c r="G12" s="4">
        <f t="shared" si="0"/>
        <v>-7.539574999999652</v>
      </c>
      <c r="H12" s="3">
        <f t="shared" si="2"/>
        <v>524.94217766666668</v>
      </c>
      <c r="I12" s="3">
        <f t="shared" si="10"/>
        <v>-6.070805767913743E-2</v>
      </c>
      <c r="J12" s="7">
        <f t="shared" si="11"/>
        <v>0</v>
      </c>
      <c r="M12" s="7">
        <f t="shared" si="12"/>
        <v>6251.5453098500002</v>
      </c>
      <c r="N12">
        <f t="shared" si="1"/>
        <v>0.53957049999999995</v>
      </c>
      <c r="AO12">
        <v>0.29052350000000005</v>
      </c>
    </row>
    <row r="13" spans="1:41" x14ac:dyDescent="0.45">
      <c r="A13" s="11" t="str">
        <f t="shared" si="13"/>
        <v>№3 - ACCZERO PBRC</v>
      </c>
      <c r="B13" s="11" t="s">
        <v>823</v>
      </c>
      <c r="D13" s="3" t="s">
        <v>1071</v>
      </c>
      <c r="E13" s="3" t="s">
        <v>1072</v>
      </c>
      <c r="F13" s="2" t="s">
        <v>1073</v>
      </c>
      <c r="G13" s="4">
        <f t="shared" si="0"/>
        <v>-7.7581860000044482</v>
      </c>
      <c r="H13" s="3">
        <f t="shared" si="2"/>
        <v>335.40364195000006</v>
      </c>
      <c r="I13" s="3">
        <f t="shared" si="10"/>
        <v>-3.9107088772289265E-2</v>
      </c>
      <c r="J13" s="7">
        <f t="shared" si="11"/>
        <v>0</v>
      </c>
      <c r="M13" s="7">
        <f t="shared" si="12"/>
        <v>6586.9489518</v>
      </c>
      <c r="N13">
        <f t="shared" si="1"/>
        <v>0.773675</v>
      </c>
      <c r="P13" s="3"/>
      <c r="Q13" s="3"/>
      <c r="AO13">
        <v>0.96155199999999996</v>
      </c>
    </row>
    <row r="14" spans="1:41" x14ac:dyDescent="0.45">
      <c r="A14" s="11" t="str">
        <f t="shared" si="13"/>
        <v>№4 - IMGCOF</v>
      </c>
      <c r="B14" s="11" t="s">
        <v>827</v>
      </c>
      <c r="D14" s="3" t="s">
        <v>1110</v>
      </c>
      <c r="E14" s="3" t="s">
        <v>1111</v>
      </c>
      <c r="F14" s="2" t="s">
        <v>1112</v>
      </c>
      <c r="G14" s="4">
        <f t="shared" si="0"/>
        <v>-8.2905260000002077</v>
      </c>
      <c r="H14" s="3">
        <f t="shared" si="2"/>
        <v>595.1755446666665</v>
      </c>
      <c r="I14" s="3">
        <f t="shared" si="10"/>
        <v>-5.3665511437695372E-2</v>
      </c>
      <c r="J14" s="7">
        <f t="shared" si="11"/>
        <v>-0.10081059367720417</v>
      </c>
      <c r="M14" s="7">
        <f t="shared" si="12"/>
        <v>7182.1244964666666</v>
      </c>
      <c r="N14">
        <f t="shared" si="1"/>
        <v>0.29052350000000005</v>
      </c>
      <c r="P14" s="3"/>
      <c r="Q14" s="3"/>
      <c r="AO14">
        <v>0.71217400000000008</v>
      </c>
    </row>
    <row r="15" spans="1:41" x14ac:dyDescent="0.45">
      <c r="A15" s="11" t="str">
        <f t="shared" si="13"/>
        <v>№5 - ERR15</v>
      </c>
      <c r="B15" s="11" t="s">
        <v>831</v>
      </c>
      <c r="D15" s="3" t="s">
        <v>1122</v>
      </c>
      <c r="E15" s="3" t="s">
        <v>1123</v>
      </c>
      <c r="F15" s="2" t="s">
        <v>1124</v>
      </c>
      <c r="G15" s="4">
        <f t="shared" si="0"/>
        <v>-8.9460459999918154</v>
      </c>
      <c r="H15" s="3">
        <f t="shared" si="2"/>
        <v>650.72758853333323</v>
      </c>
      <c r="I15" s="3">
        <f t="shared" si="10"/>
        <v>-6.044188181439266E-2</v>
      </c>
      <c r="J15" s="7">
        <f t="shared" si="11"/>
        <v>0</v>
      </c>
      <c r="M15" s="7">
        <f t="shared" si="12"/>
        <v>7832.8520849999995</v>
      </c>
      <c r="N15">
        <f t="shared" si="1"/>
        <v>0.96155199999999996</v>
      </c>
      <c r="P15" s="3"/>
      <c r="Q15" s="3"/>
      <c r="AO15">
        <v>0.33648500000000003</v>
      </c>
    </row>
    <row r="16" spans="1:41" x14ac:dyDescent="0.45">
      <c r="A16" s="11" t="str">
        <f t="shared" si="13"/>
        <v>№6 - IMG COR LSU</v>
      </c>
      <c r="B16" s="11" t="s">
        <v>839</v>
      </c>
      <c r="D16" s="3" t="s">
        <v>1143</v>
      </c>
      <c r="E16" s="3" t="s">
        <v>1144</v>
      </c>
      <c r="F16" s="2" t="s">
        <v>1145</v>
      </c>
      <c r="G16" s="4">
        <f t="shared" si="0"/>
        <v>-9.6959719999995642</v>
      </c>
      <c r="H16" s="3">
        <f t="shared" si="2"/>
        <v>801.84584266666684</v>
      </c>
      <c r="I16" s="3">
        <f t="shared" si="10"/>
        <v>-5.6114975730029333E-2</v>
      </c>
      <c r="J16" s="7">
        <f t="shared" si="11"/>
        <v>-7.4827350604525666E-2</v>
      </c>
      <c r="M16" s="7">
        <f t="shared" si="12"/>
        <v>8634.6979276666661</v>
      </c>
      <c r="N16">
        <f t="shared" si="1"/>
        <v>0.71217400000000008</v>
      </c>
      <c r="P16" s="3"/>
      <c r="Q16" s="3"/>
      <c r="AO16">
        <v>0.49316950000000004</v>
      </c>
    </row>
    <row r="17" spans="1:41" x14ac:dyDescent="0.45">
      <c r="A17" s="11" t="str">
        <f t="shared" si="13"/>
        <v>№7 - IVAN ERR15</v>
      </c>
      <c r="B17" s="11" t="s">
        <v>843</v>
      </c>
      <c r="D17" s="3" t="s">
        <v>1182</v>
      </c>
      <c r="E17" s="3" t="s">
        <v>1183</v>
      </c>
      <c r="F17" s="3" t="s">
        <v>1184</v>
      </c>
      <c r="G17" s="4">
        <f t="shared" si="0"/>
        <v>-10.321132000000121</v>
      </c>
      <c r="H17" s="3">
        <f t="shared" si="2"/>
        <v>616.31041560000006</v>
      </c>
      <c r="I17" s="3">
        <f t="shared" si="10"/>
        <v>-6.0861538358907168E-2</v>
      </c>
      <c r="J17" s="7">
        <f t="shared" si="11"/>
        <v>-9.7353538868214434E-2</v>
      </c>
      <c r="M17" s="7">
        <f t="shared" si="12"/>
        <v>9251.008343266667</v>
      </c>
      <c r="N17">
        <f t="shared" si="1"/>
        <v>0.33648500000000003</v>
      </c>
      <c r="P17" s="3"/>
      <c r="Q17" s="3"/>
      <c r="AO17">
        <v>0.19640150000000001</v>
      </c>
    </row>
    <row r="18" spans="1:41" x14ac:dyDescent="0.45">
      <c r="A18" s="11" t="str">
        <f t="shared" si="13"/>
        <v>№8 - AIM TRAINING DEVICE</v>
      </c>
      <c r="B18" s="11" t="s">
        <v>847</v>
      </c>
      <c r="D18" s="3" t="s">
        <v>1197</v>
      </c>
      <c r="E18" s="3" t="s">
        <v>1198</v>
      </c>
      <c r="F18" s="2" t="s">
        <v>1199</v>
      </c>
      <c r="G18" s="4">
        <f t="shared" si="0"/>
        <v>-10.477436999995325</v>
      </c>
      <c r="H18" s="3">
        <f t="shared" si="2"/>
        <v>165.93593688333328</v>
      </c>
      <c r="I18" s="3">
        <f t="shared" si="10"/>
        <v>-5.6517594535931866E-2</v>
      </c>
      <c r="J18" s="7">
        <f t="shared" si="11"/>
        <v>0</v>
      </c>
      <c r="M18" s="7">
        <f t="shared" si="12"/>
        <v>9416.9442801500008</v>
      </c>
      <c r="N18">
        <f t="shared" si="1"/>
        <v>0.49316950000000004</v>
      </c>
      <c r="P18" s="3"/>
      <c r="Q18" s="3"/>
      <c r="AO18">
        <v>0.13337100000000002</v>
      </c>
    </row>
    <row r="19" spans="1:41" x14ac:dyDescent="0.45">
      <c r="D19" s="3" t="s">
        <v>1230</v>
      </c>
      <c r="E19" s="3" t="s">
        <v>1231</v>
      </c>
      <c r="F19" s="2" t="s">
        <v>1232</v>
      </c>
      <c r="G19" s="4">
        <f t="shared" si="0"/>
        <v>-12.196404999998835</v>
      </c>
      <c r="H19" s="3">
        <f t="shared" si="2"/>
        <v>1889.2953298333334</v>
      </c>
      <c r="I19" s="3">
        <f t="shared" si="10"/>
        <v>-5.459076639400208E-2</v>
      </c>
      <c r="J19" s="7">
        <f t="shared" si="11"/>
        <v>-6.3515744788606415E-2</v>
      </c>
      <c r="M19" s="7">
        <f t="shared" si="12"/>
        <v>11306.239609983335</v>
      </c>
      <c r="N19">
        <f t="shared" si="1"/>
        <v>0.19640150000000001</v>
      </c>
      <c r="P19" s="3"/>
      <c r="Q19" s="3"/>
      <c r="AO19">
        <v>0.36827749999999998</v>
      </c>
    </row>
    <row r="20" spans="1:41" x14ac:dyDescent="0.45">
      <c r="A20" s="17" t="s">
        <v>368</v>
      </c>
      <c r="D20" s="3" t="s">
        <v>1239</v>
      </c>
      <c r="E20" s="3" t="s">
        <v>1240</v>
      </c>
      <c r="F20" s="3" t="s">
        <v>1241</v>
      </c>
      <c r="G20" s="4">
        <f t="shared" si="0"/>
        <v>-13.133373000005387</v>
      </c>
      <c r="H20" s="3">
        <f t="shared" si="2"/>
        <v>938.56560209999998</v>
      </c>
      <c r="I20" s="3">
        <f t="shared" si="10"/>
        <v>-5.9897869551800709E-2</v>
      </c>
      <c r="J20" s="7">
        <f t="shared" si="11"/>
        <v>-6.3927337487920496E-2</v>
      </c>
      <c r="M20" s="7">
        <f t="shared" si="12"/>
        <v>12244.805212083334</v>
      </c>
      <c r="N20">
        <f t="shared" si="1"/>
        <v>0.13337100000000002</v>
      </c>
      <c r="P20" s="16" t="s">
        <v>342</v>
      </c>
      <c r="Q20" s="3"/>
      <c r="R20" s="37" t="s">
        <v>1548</v>
      </c>
      <c r="AO20">
        <v>0.72711649999999994</v>
      </c>
    </row>
    <row r="21" spans="1:41" x14ac:dyDescent="0.45">
      <c r="A21" s="16">
        <f>AVERAGE(K3, K37, K71, K105, K139, K173, K207, K251)</f>
        <v>1.1977978401346425E-2</v>
      </c>
      <c r="D21" s="3" t="s">
        <v>1266</v>
      </c>
      <c r="E21" s="3" t="s">
        <v>1267</v>
      </c>
      <c r="F21" s="3" t="s">
        <v>1268</v>
      </c>
      <c r="G21" s="4">
        <f t="shared" si="0"/>
        <v>-13.352406000005386</v>
      </c>
      <c r="H21" s="3">
        <f t="shared" si="2"/>
        <v>227.2703143833333</v>
      </c>
      <c r="I21" s="3">
        <f t="shared" si="10"/>
        <v>-5.7825325914908542E-2</v>
      </c>
      <c r="J21" s="7">
        <f t="shared" si="11"/>
        <v>0</v>
      </c>
      <c r="M21" s="7">
        <f t="shared" si="12"/>
        <v>12472.075526466668</v>
      </c>
      <c r="N21" s="6">
        <f t="shared" si="1"/>
        <v>0.36827749999999998</v>
      </c>
      <c r="P21" s="17">
        <f>AVERAGE(N3:N300)</f>
        <v>0.44943025403225845</v>
      </c>
      <c r="Q21" s="3"/>
      <c r="R21" s="37">
        <f>AVERAGE(AVERAGE(N3:N300), AVERAGE(Calibrated!N3:N300), AVERAGE(Uncalibrated!N3:N300))</f>
        <v>0.47826298350983709</v>
      </c>
      <c r="AO21">
        <v>0.36842149999999996</v>
      </c>
    </row>
    <row r="22" spans="1:41" x14ac:dyDescent="0.45">
      <c r="A22" s="17"/>
      <c r="D22" s="3" t="s">
        <v>1293</v>
      </c>
      <c r="E22" s="3" t="s">
        <v>1294</v>
      </c>
      <c r="F22" s="3" t="s">
        <v>1295</v>
      </c>
      <c r="G22" s="4">
        <f t="shared" si="0"/>
        <v>-13.727116999999989</v>
      </c>
      <c r="H22" s="3">
        <f t="shared" si="2"/>
        <v>408.97291741666658</v>
      </c>
      <c r="I22" s="3">
        <f t="shared" si="10"/>
        <v>-5.4973469005456348E-2</v>
      </c>
      <c r="J22" s="7">
        <f t="shared" si="11"/>
        <v>0</v>
      </c>
      <c r="M22" s="7">
        <f t="shared" si="12"/>
        <v>12881.048443883334</v>
      </c>
      <c r="N22" s="6">
        <f t="shared" si="1"/>
        <v>0.72711649999999994</v>
      </c>
      <c r="P22" s="3"/>
      <c r="Q22" s="3"/>
      <c r="AO22">
        <v>0.77429700000000001</v>
      </c>
    </row>
    <row r="23" spans="1:41" x14ac:dyDescent="0.45">
      <c r="A23" s="17" t="s">
        <v>369</v>
      </c>
      <c r="D23" s="3" t="s">
        <v>1314</v>
      </c>
      <c r="E23" s="3" t="s">
        <v>1315</v>
      </c>
      <c r="F23" s="3" t="s">
        <v>1316</v>
      </c>
      <c r="G23" s="4">
        <f t="shared" si="0"/>
        <v>-14.352604000002344</v>
      </c>
      <c r="H23" s="3">
        <f t="shared" si="2"/>
        <v>690.71042771666669</v>
      </c>
      <c r="I23" s="3">
        <f t="shared" si="10"/>
        <v>-5.4334231096241685E-2</v>
      </c>
      <c r="J23" s="7">
        <f t="shared" si="11"/>
        <v>-8.6867082922646041E-2</v>
      </c>
      <c r="M23" s="7">
        <f t="shared" si="12"/>
        <v>13571.758871600001</v>
      </c>
      <c r="N23">
        <f t="shared" si="1"/>
        <v>0.36842149999999996</v>
      </c>
      <c r="AO23">
        <v>0.13362499999999999</v>
      </c>
    </row>
    <row r="24" spans="1:41" x14ac:dyDescent="0.45">
      <c r="A24" s="16">
        <f>A21 / 3600 * 1000000</f>
        <v>3.3272162225962294</v>
      </c>
      <c r="D24" s="3" t="s">
        <v>1335</v>
      </c>
      <c r="E24" s="3" t="s">
        <v>1336</v>
      </c>
      <c r="F24" s="3" t="s">
        <v>1337</v>
      </c>
      <c r="G24" s="4">
        <f t="shared" si="0"/>
        <v>-15.758490999999303</v>
      </c>
      <c r="H24" s="3">
        <f t="shared" si="2"/>
        <v>1503.2400958833334</v>
      </c>
      <c r="I24" s="3">
        <f t="shared" si="10"/>
        <v>-5.6114269590613809E-2</v>
      </c>
      <c r="J24" s="7">
        <f t="shared" si="11"/>
        <v>-3.9913783675882337E-2</v>
      </c>
      <c r="M24" s="7">
        <f t="shared" si="12"/>
        <v>15074.998967483334</v>
      </c>
      <c r="N24">
        <f t="shared" si="1"/>
        <v>0.77429700000000001</v>
      </c>
      <c r="Q24" s="3"/>
      <c r="AO24">
        <v>0.38340450000000004</v>
      </c>
    </row>
    <row r="25" spans="1:41" x14ac:dyDescent="0.45">
      <c r="D25" s="3" t="s">
        <v>1360</v>
      </c>
      <c r="E25" s="3" t="s">
        <v>1359</v>
      </c>
      <c r="F25" s="3" t="s">
        <v>1367</v>
      </c>
      <c r="G25" s="4">
        <f t="shared" si="0"/>
        <v>-18.133628999999772</v>
      </c>
      <c r="H25" s="3">
        <f t="shared" si="2"/>
        <v>1323.1895817</v>
      </c>
      <c r="I25" s="3">
        <f t="shared" si="10"/>
        <v>-0.10770057591969334</v>
      </c>
      <c r="J25" s="7">
        <f t="shared" si="11"/>
        <v>-0.13603492839532536</v>
      </c>
      <c r="M25" s="7">
        <f t="shared" si="12"/>
        <v>16398.188549183335</v>
      </c>
      <c r="N25">
        <f t="shared" si="1"/>
        <v>0.13362499999999999</v>
      </c>
      <c r="Q25" s="3"/>
      <c r="AO25">
        <v>0.75902250000000004</v>
      </c>
    </row>
    <row r="26" spans="1:41" x14ac:dyDescent="0.45">
      <c r="A26" s="17" t="s">
        <v>370</v>
      </c>
      <c r="B26" s="17" t="s">
        <v>371</v>
      </c>
      <c r="D26" s="3" t="s">
        <v>1398</v>
      </c>
      <c r="E26" s="3" t="s">
        <v>1399</v>
      </c>
      <c r="F26" s="3" t="s">
        <v>1400</v>
      </c>
      <c r="G26" s="4">
        <f t="shared" si="0"/>
        <v>-18.383405999999773</v>
      </c>
      <c r="H26" s="3">
        <f t="shared" si="2"/>
        <v>299.80415958333327</v>
      </c>
      <c r="I26" s="3">
        <f t="shared" si="10"/>
        <v>-4.9988032256885466E-2</v>
      </c>
      <c r="J26" s="7">
        <f t="shared" si="11"/>
        <v>0</v>
      </c>
      <c r="M26" s="7">
        <f t="shared" si="12"/>
        <v>16697.992708766669</v>
      </c>
      <c r="N26">
        <f t="shared" si="1"/>
        <v>0.38340450000000004</v>
      </c>
      <c r="P26" s="3"/>
      <c r="Q26" s="3"/>
      <c r="AO26">
        <v>0.77409700000000004</v>
      </c>
    </row>
    <row r="27" spans="1:41" x14ac:dyDescent="0.45">
      <c r="A27" s="17">
        <f>IF(A24 &gt; 0, ROUND(A24 / 0.9537, 0), IF(A24 + 488.5 &gt; 0, ROUND((A24 + 488.5) / 0.9537, 0), 0))</f>
        <v>3</v>
      </c>
      <c r="B27" s="17">
        <f>IF(A24 &gt; 0, 0, 1)</f>
        <v>0</v>
      </c>
      <c r="D27" s="3" t="s">
        <v>1413</v>
      </c>
      <c r="E27" s="3" t="s">
        <v>1414</v>
      </c>
      <c r="F27" s="3" t="s">
        <v>1415</v>
      </c>
      <c r="G27" s="4">
        <f t="shared" si="0"/>
        <v>-19.759023999996732</v>
      </c>
      <c r="H27" s="3">
        <f t="shared" si="2"/>
        <v>1385.8395974666666</v>
      </c>
      <c r="I27" s="3">
        <f t="shared" si="10"/>
        <v>-5.9557455387114336E-2</v>
      </c>
      <c r="J27" s="7">
        <f t="shared" si="11"/>
        <v>-4.3295053850157555E-2</v>
      </c>
      <c r="M27" s="7">
        <f t="shared" si="12"/>
        <v>18083.832306233337</v>
      </c>
      <c r="N27">
        <f t="shared" si="1"/>
        <v>0.75902250000000004</v>
      </c>
      <c r="AO27">
        <v>0.243007</v>
      </c>
    </row>
    <row r="28" spans="1:41" x14ac:dyDescent="0.45">
      <c r="D28" s="3" t="s">
        <v>1449</v>
      </c>
      <c r="E28" s="3" t="s">
        <v>1450</v>
      </c>
      <c r="F28" s="3" t="s">
        <v>1451</v>
      </c>
      <c r="G28" s="4">
        <f t="shared" si="0"/>
        <v>-20.758260000003283</v>
      </c>
      <c r="H28" s="3">
        <f t="shared" si="2"/>
        <v>1382.1166526000002</v>
      </c>
      <c r="I28" s="3">
        <f t="shared" si="10"/>
        <v>-4.3378509250727081E-2</v>
      </c>
      <c r="J28" s="7">
        <f t="shared" si="11"/>
        <v>-4.3411675770731531E-2</v>
      </c>
      <c r="M28" s="7">
        <f t="shared" si="12"/>
        <v>19465.948958833338</v>
      </c>
      <c r="N28">
        <f t="shared" si="1"/>
        <v>0.77409700000000004</v>
      </c>
      <c r="AO28">
        <v>0.50849900000000003</v>
      </c>
    </row>
    <row r="29" spans="1:41" x14ac:dyDescent="0.45">
      <c r="A29" s="36" t="s">
        <v>338</v>
      </c>
      <c r="B29" s="36" t="s">
        <v>813</v>
      </c>
      <c r="D29" s="3" t="s">
        <v>1452</v>
      </c>
      <c r="E29" s="3" t="s">
        <v>1453</v>
      </c>
      <c r="F29" s="3" t="s">
        <v>1454</v>
      </c>
      <c r="G29" s="4">
        <f t="shared" si="0"/>
        <v>-21.226956000000243</v>
      </c>
      <c r="H29" s="3">
        <f t="shared" si="2"/>
        <v>548.04114806666666</v>
      </c>
      <c r="I29" s="3">
        <f t="shared" si="10"/>
        <v>-5.131322729875884E-2</v>
      </c>
      <c r="J29" s="7">
        <f t="shared" si="11"/>
        <v>-0.10948083042972766</v>
      </c>
      <c r="M29" s="7">
        <f t="shared" si="12"/>
        <v>20013.990106900004</v>
      </c>
      <c r="N29">
        <f t="shared" si="1"/>
        <v>0.243007</v>
      </c>
      <c r="AO29">
        <v>0.19667649999999998</v>
      </c>
    </row>
    <row r="30" spans="1:41" x14ac:dyDescent="0.45">
      <c r="A30" s="36" t="s">
        <v>505</v>
      </c>
      <c r="B30" s="36" t="s">
        <v>818</v>
      </c>
      <c r="D30" s="3" t="s">
        <v>1485</v>
      </c>
      <c r="E30" s="3" t="s">
        <v>1486</v>
      </c>
      <c r="F30" s="3" t="s">
        <v>1487</v>
      </c>
      <c r="G30" s="4">
        <f t="shared" si="0"/>
        <v>-22.5085030000002</v>
      </c>
      <c r="H30" s="3">
        <f t="shared" si="2"/>
        <v>1574.5546847666667</v>
      </c>
      <c r="I30" s="3">
        <f t="shared" si="10"/>
        <v>-4.8834645594663592E-2</v>
      </c>
      <c r="J30" s="7">
        <f t="shared" si="11"/>
        <v>-3.8106012182670811E-2</v>
      </c>
      <c r="M30" s="7">
        <f t="shared" si="12"/>
        <v>21588.544791666671</v>
      </c>
      <c r="N30">
        <f t="shared" si="1"/>
        <v>0.50849900000000003</v>
      </c>
      <c r="AO30">
        <v>0.5086044999999999</v>
      </c>
    </row>
    <row r="31" spans="1:41" x14ac:dyDescent="0.45">
      <c r="A31" s="36" t="s">
        <v>506</v>
      </c>
      <c r="B31" s="36" t="s">
        <v>814</v>
      </c>
      <c r="D31" s="3" t="s">
        <v>1518</v>
      </c>
      <c r="E31" s="3" t="s">
        <v>1519</v>
      </c>
      <c r="F31" s="3" t="s">
        <v>1520</v>
      </c>
      <c r="G31" s="4">
        <f t="shared" si="0"/>
        <v>-23.196675999994159</v>
      </c>
      <c r="H31" s="3">
        <f t="shared" si="2"/>
        <v>792.47813653333333</v>
      </c>
      <c r="I31" s="3">
        <f t="shared" si="10"/>
        <v>-5.2102863279308659E-2</v>
      </c>
      <c r="J31" s="7">
        <f t="shared" si="11"/>
        <v>-7.571186791659365E-2</v>
      </c>
      <c r="M31" s="7">
        <f t="shared" si="12"/>
        <v>22381.022928200004</v>
      </c>
      <c r="N31">
        <f t="shared" si="1"/>
        <v>0.19667649999999998</v>
      </c>
      <c r="AO31">
        <v>0.18036099999999999</v>
      </c>
    </row>
    <row r="32" spans="1:41" hidden="1" x14ac:dyDescent="0.45">
      <c r="A32" s="36" t="s">
        <v>507</v>
      </c>
      <c r="B32" s="36" t="s">
        <v>815</v>
      </c>
      <c r="D32" s="3" t="s">
        <v>1538</v>
      </c>
      <c r="E32" s="3" t="s">
        <v>1539</v>
      </c>
      <c r="F32" s="3" t="s">
        <v>1540</v>
      </c>
      <c r="G32" s="4">
        <f t="shared" si="0"/>
        <v>-23.508606000003752</v>
      </c>
      <c r="H32" s="3">
        <f t="shared" si="2"/>
        <v>441.62187140000003</v>
      </c>
      <c r="I32" s="3">
        <f t="shared" si="10"/>
        <v>-4.2379694513869935E-2</v>
      </c>
      <c r="J32" s="7">
        <f t="shared" si="11"/>
        <v>0</v>
      </c>
      <c r="M32" s="7">
        <f t="shared" si="12"/>
        <v>22822.644799600002</v>
      </c>
      <c r="N32">
        <f t="shared" si="1"/>
        <v>0.5086044999999999</v>
      </c>
      <c r="AO32">
        <v>0</v>
      </c>
    </row>
    <row r="33" spans="1:41" hidden="1" x14ac:dyDescent="0.45">
      <c r="A33" s="36" t="s">
        <v>508</v>
      </c>
      <c r="B33" s="36" t="s">
        <v>816</v>
      </c>
      <c r="D33" s="3" t="s">
        <v>1567</v>
      </c>
      <c r="E33" s="3" t="s">
        <v>1568</v>
      </c>
      <c r="F33" s="3" t="s">
        <v>1569</v>
      </c>
      <c r="G33" s="4">
        <f t="shared" si="0"/>
        <v>-24.165144000000712</v>
      </c>
      <c r="H33" s="3">
        <f t="shared" si="2"/>
        <v>1068.7442689333334</v>
      </c>
      <c r="I33" s="3">
        <f t="shared" si="10"/>
        <v>-3.685847133396402E-2</v>
      </c>
      <c r="J33" s="7">
        <f t="shared" si="11"/>
        <v>-5.6140651925912416E-2</v>
      </c>
      <c r="M33" s="7">
        <f t="shared" si="12"/>
        <v>23891.389068533335</v>
      </c>
      <c r="N33">
        <f t="shared" si="1"/>
        <v>0.18036099999999999</v>
      </c>
      <c r="AO33">
        <v>0</v>
      </c>
    </row>
    <row r="34" spans="1:41" hidden="1" x14ac:dyDescent="0.45">
      <c r="A34" s="36" t="s">
        <v>509</v>
      </c>
      <c r="B34" s="36" t="s">
        <v>817</v>
      </c>
      <c r="D34" s="3"/>
      <c r="E34" s="3"/>
      <c r="F34" s="3"/>
      <c r="AO34">
        <v>0</v>
      </c>
    </row>
    <row r="35" spans="1:41" x14ac:dyDescent="0.45">
      <c r="A35" s="36" t="s">
        <v>510</v>
      </c>
      <c r="B35" s="36" t="s">
        <v>818</v>
      </c>
      <c r="D35" s="12" t="str">
        <f>("№"&amp;B4&amp;" - "&amp;A4)</f>
        <v>№3 - ACCZERO PBRC</v>
      </c>
      <c r="E35" s="12"/>
      <c r="F35" s="12"/>
      <c r="G35" s="13"/>
      <c r="H35" s="13"/>
      <c r="I35" s="13"/>
      <c r="J35" s="13"/>
      <c r="K35" s="13"/>
      <c r="L35" s="13"/>
      <c r="M35" s="14"/>
      <c r="N35" s="13"/>
      <c r="AO35">
        <v>0.89949750000000006</v>
      </c>
    </row>
    <row r="36" spans="1:41" x14ac:dyDescent="0.45">
      <c r="A36" s="36" t="s">
        <v>511</v>
      </c>
      <c r="B36" s="36" t="s">
        <v>818</v>
      </c>
      <c r="D36" s="12" t="s">
        <v>8</v>
      </c>
      <c r="E36" s="12" t="s">
        <v>9</v>
      </c>
      <c r="F36" s="12" t="s">
        <v>10</v>
      </c>
      <c r="G36" s="12" t="s">
        <v>346</v>
      </c>
      <c r="H36" s="12" t="s">
        <v>222</v>
      </c>
      <c r="I36" s="12" t="s">
        <v>223</v>
      </c>
      <c r="J36" s="12" t="s">
        <v>224</v>
      </c>
      <c r="K36" s="12" t="s">
        <v>225</v>
      </c>
      <c r="L36" s="12" t="s">
        <v>345</v>
      </c>
      <c r="M36" s="12" t="s">
        <v>344</v>
      </c>
      <c r="N36" s="12"/>
      <c r="AO36">
        <v>0.4928015</v>
      </c>
    </row>
    <row r="37" spans="1:41" x14ac:dyDescent="0.45">
      <c r="A37" s="36" t="s">
        <v>512</v>
      </c>
      <c r="B37" s="36" t="s">
        <v>818</v>
      </c>
      <c r="D37" s="2" t="s">
        <v>824</v>
      </c>
      <c r="E37" s="2" t="s">
        <v>825</v>
      </c>
      <c r="F37" s="1" t="s">
        <v>826</v>
      </c>
      <c r="G37" s="3">
        <f t="shared" ref="G37:G67" si="14">(DATEVALUE(LEFT(E37, 10))-DATEVALUE(LEFT(D37, 10))) * 86400 + (TIMEVALUE(MID(E37, 12, 8)) - TIMEVALUE(MID(D37, 12, 8))) * 86400 + (VALUE(RIGHT(E37, 6)) - VALUE(RIGHT(D37, 6))) / 1000000</f>
        <v>-0.88359599999935701</v>
      </c>
      <c r="H37" s="3"/>
      <c r="I37" s="3"/>
      <c r="J37" s="6"/>
      <c r="K37" s="3" cm="1">
        <f t="array" ref="K37">((LOOKUP(2,1/(G37:G58&lt;&gt;""),G37:G58) - G37)/SUM(H38:H69)) * 60</f>
        <v>-2.6391254456023701E-2</v>
      </c>
      <c r="L37" s="3">
        <f>((FLOOR(MAX(G37:G69), 1)-FLOOR(MIN(G37:G69), 1))/SUM(H38:H69)) * 60</f>
        <v>4.2729690647315549E-2</v>
      </c>
      <c r="M37" s="6">
        <v>0</v>
      </c>
      <c r="N37">
        <f t="shared" ref="N37:N58" si="15">(MID(F37, 2, 7) + MID(F37, 12, 8)) / 2</f>
        <v>0.89949750000000006</v>
      </c>
      <c r="AO37">
        <v>0.79005250000000005</v>
      </c>
    </row>
    <row r="38" spans="1:41" x14ac:dyDescent="0.45">
      <c r="D38" s="2" t="s">
        <v>854</v>
      </c>
      <c r="E38" s="2" t="s">
        <v>855</v>
      </c>
      <c r="F38" s="1" t="s">
        <v>856</v>
      </c>
      <c r="G38" s="3">
        <f t="shared" si="14"/>
        <v>-1.4774969999939178</v>
      </c>
      <c r="H38" s="3">
        <f t="shared" ref="H38:H67" si="16">((DATEVALUE(LEFT(D38,10))-DATEVALUE(LEFT(D37,10)))*86400+(TIMEVALUE(MID(D38,12,8))-TIMEVALUE(MID(D37,12,8)))*86400+(VALUE(RIGHT(D38,6))-VALUE(RIGHT(D37,6)))/1000000)/ 60</f>
        <v>810.27657348333321</v>
      </c>
      <c r="I38" s="3">
        <f t="shared" ref="I38:I67" si="17">3600 * (G38-G37) / ((DATEVALUE(LEFT(D38, 10))-DATEVALUE(LEFT(D37, 10))) * 86400 + (TIMEVALUE(MID(D38, 12, 8)) - TIMEVALUE(MID(D37, 12, 8))) * 86400 + (VALUE(RIGHT(D38, 6)) - VALUE(RIGHT(D37, 6))) / 1000000)</f>
        <v>-4.3977650552680846E-2</v>
      </c>
      <c r="J38" s="7">
        <f t="shared" ref="J38:J44" si="18">(FLOOR(G38, 1) - FLOOR(G37, 1)) / H38 * 60</f>
        <v>-7.4048790207599594E-2</v>
      </c>
      <c r="L38" s="3"/>
      <c r="M38" s="7">
        <f t="shared" ref="M38:M44" si="19">M37 + H38</f>
        <v>810.27657348333321</v>
      </c>
      <c r="N38">
        <f t="shared" si="15"/>
        <v>0.4928015</v>
      </c>
      <c r="AO38">
        <v>0.53937449999999998</v>
      </c>
    </row>
    <row r="39" spans="1:41" x14ac:dyDescent="0.45">
      <c r="D39" s="2" t="s">
        <v>893</v>
      </c>
      <c r="E39" s="2" t="s">
        <v>894</v>
      </c>
      <c r="F39" s="1" t="s">
        <v>895</v>
      </c>
      <c r="G39" s="3">
        <f t="shared" si="14"/>
        <v>-1.7900560000035102</v>
      </c>
      <c r="H39" s="3">
        <f t="shared" si="16"/>
        <v>524.32186485000011</v>
      </c>
      <c r="I39" s="3">
        <f t="shared" si="17"/>
        <v>-3.5767228600967503E-2</v>
      </c>
      <c r="J39" s="7">
        <f t="shared" si="18"/>
        <v>0</v>
      </c>
      <c r="K39" t="s">
        <v>340</v>
      </c>
      <c r="M39" s="7">
        <f t="shared" si="19"/>
        <v>1334.5984383333334</v>
      </c>
      <c r="N39">
        <f t="shared" si="15"/>
        <v>0.79005250000000005</v>
      </c>
      <c r="AO39">
        <v>0.46170849999999997</v>
      </c>
    </row>
    <row r="40" spans="1:41" x14ac:dyDescent="0.45">
      <c r="D40" s="2" t="s">
        <v>905</v>
      </c>
      <c r="E40" s="2" t="s">
        <v>906</v>
      </c>
      <c r="F40" s="1" t="s">
        <v>907</v>
      </c>
      <c r="G40" s="3">
        <f t="shared" si="14"/>
        <v>-1.53937500000351</v>
      </c>
      <c r="H40" s="3">
        <f t="shared" si="16"/>
        <v>1350.8458232500002</v>
      </c>
      <c r="I40" s="3">
        <f t="shared" si="17"/>
        <v>1.1134401677175269E-2</v>
      </c>
      <c r="J40" s="7">
        <f t="shared" si="18"/>
        <v>0</v>
      </c>
      <c r="K40" s="3">
        <f>(MAX(G37:G69) / (DATEDIF(VALUE(DATE(2000 + MID(B13, 1, 2), MID(B13, 4, 2), MID(B13, 7, 2))), VALUE(DATEVALUE(MID(D37, 1, 10)) + TIMEVALUE(MID(D37, 12, 8)) + MID(D37, 21, 6) / 86400000), "d") * 1440 + (TIMEVALUE(MID(D37, 12, 8)) - TIMEVALUE(RIGHT(B13, 8))) * 1440 + MID(D37, 21, 6) / 86400000 + MAX(M37:M69))) * 60</f>
        <v>-2.2207848616202825E-3</v>
      </c>
      <c r="L40" s="3"/>
      <c r="M40" s="7">
        <f t="shared" si="19"/>
        <v>2685.4442615833336</v>
      </c>
      <c r="N40">
        <f t="shared" si="15"/>
        <v>0.53937449999999998</v>
      </c>
      <c r="AO40">
        <v>0.68045699999999998</v>
      </c>
    </row>
    <row r="41" spans="1:41" x14ac:dyDescent="0.45">
      <c r="D41" s="3" t="s">
        <v>942</v>
      </c>
      <c r="E41" s="3" t="s">
        <v>943</v>
      </c>
      <c r="F41" s="1" t="s">
        <v>944</v>
      </c>
      <c r="G41" s="3">
        <f t="shared" si="14"/>
        <v>-3.4458669999974276</v>
      </c>
      <c r="H41" s="3">
        <f t="shared" si="16"/>
        <v>1272.2984401666665</v>
      </c>
      <c r="I41" s="3">
        <f t="shared" si="17"/>
        <v>-8.9907773513147146E-2</v>
      </c>
      <c r="J41" s="7">
        <f t="shared" si="18"/>
        <v>-9.4317493609660033E-2</v>
      </c>
      <c r="M41" s="7">
        <f t="shared" si="19"/>
        <v>3957.7427017500004</v>
      </c>
      <c r="N41">
        <f t="shared" si="15"/>
        <v>0.46170849999999997</v>
      </c>
      <c r="AO41">
        <v>0.91479299999999997</v>
      </c>
    </row>
    <row r="42" spans="1:41" x14ac:dyDescent="0.45">
      <c r="D42" s="2" t="s">
        <v>968</v>
      </c>
      <c r="E42" s="2" t="s">
        <v>969</v>
      </c>
      <c r="F42" s="1" t="s">
        <v>970</v>
      </c>
      <c r="G42" s="3">
        <f t="shared" si="14"/>
        <v>-3.665406999999826</v>
      </c>
      <c r="H42" s="3">
        <f t="shared" si="16"/>
        <v>327.6870092333333</v>
      </c>
      <c r="I42" s="3">
        <f t="shared" si="17"/>
        <v>-4.0198114752740599E-2</v>
      </c>
      <c r="J42" s="7">
        <f t="shared" si="18"/>
        <v>0</v>
      </c>
      <c r="K42" s="8" t="s">
        <v>995</v>
      </c>
      <c r="M42" s="7">
        <f t="shared" si="19"/>
        <v>4285.4297109833333</v>
      </c>
      <c r="N42">
        <f t="shared" si="15"/>
        <v>0.68045699999999998</v>
      </c>
      <c r="AO42">
        <v>5.5192000000000005E-2</v>
      </c>
    </row>
    <row r="43" spans="1:41" x14ac:dyDescent="0.45">
      <c r="D43" s="2" t="s">
        <v>991</v>
      </c>
      <c r="E43" s="2" t="s">
        <v>992</v>
      </c>
      <c r="F43" s="1" t="s">
        <v>993</v>
      </c>
      <c r="G43" s="3">
        <f t="shared" si="14"/>
        <v>-2.9147950000004688</v>
      </c>
      <c r="H43" s="3">
        <f t="shared" si="16"/>
        <v>529.03747514999998</v>
      </c>
      <c r="I43" s="3">
        <f t="shared" si="17"/>
        <v>8.5129545855313946E-2</v>
      </c>
      <c r="J43" s="7">
        <f t="shared" si="18"/>
        <v>0.11341351571169504</v>
      </c>
      <c r="K43">
        <f>_xlfn.STDEV.P(I38:I58)</f>
        <v>4.8728947420956098E-2</v>
      </c>
      <c r="M43" s="7">
        <f t="shared" si="19"/>
        <v>4814.4671861333336</v>
      </c>
      <c r="N43">
        <f t="shared" si="15"/>
        <v>0.91479299999999997</v>
      </c>
      <c r="AO43">
        <v>0.41469299999999998</v>
      </c>
    </row>
    <row r="44" spans="1:41" x14ac:dyDescent="0.45">
      <c r="D44" s="3" t="s">
        <v>1016</v>
      </c>
      <c r="E44" s="3" t="s">
        <v>1017</v>
      </c>
      <c r="F44" s="1" t="s">
        <v>1018</v>
      </c>
      <c r="G44" s="3">
        <f t="shared" si="14"/>
        <v>-3.0396549999974276</v>
      </c>
      <c r="H44" s="3">
        <f t="shared" si="16"/>
        <v>219.1187461166667</v>
      </c>
      <c r="I44" s="3">
        <f t="shared" si="17"/>
        <v>-3.4189680858381387E-2</v>
      </c>
      <c r="J44" s="7">
        <f t="shared" si="18"/>
        <v>-0.27382412989920013</v>
      </c>
      <c r="M44" s="7">
        <f t="shared" si="19"/>
        <v>5033.58593225</v>
      </c>
      <c r="N44">
        <f t="shared" si="15"/>
        <v>5.5192000000000005E-2</v>
      </c>
      <c r="AO44">
        <v>0.78948550000000006</v>
      </c>
    </row>
    <row r="45" spans="1:41" x14ac:dyDescent="0.45">
      <c r="D45" s="3" t="s">
        <v>1026</v>
      </c>
      <c r="E45" s="3" t="s">
        <v>1027</v>
      </c>
      <c r="F45" s="1" t="s">
        <v>1028</v>
      </c>
      <c r="G45" s="3">
        <f t="shared" si="14"/>
        <v>-5.4146969999997392</v>
      </c>
      <c r="H45" s="3">
        <f t="shared" si="16"/>
        <v>681.92291846666683</v>
      </c>
      <c r="I45" s="3">
        <f t="shared" si="17"/>
        <v>-0.208971595089606</v>
      </c>
      <c r="J45" s="7">
        <f t="shared" ref="J45:J67" si="20">(FLOOR(G45, 1) - FLOOR(G44, 1)) / H45 * 60</f>
        <v>-0.17597296813227101</v>
      </c>
      <c r="M45" s="7">
        <f t="shared" ref="M45:M67" si="21">M44 + H45</f>
        <v>5715.5088507166665</v>
      </c>
      <c r="N45">
        <f t="shared" si="15"/>
        <v>0.41469299999999998</v>
      </c>
      <c r="AO45">
        <v>0.91465450000000004</v>
      </c>
    </row>
    <row r="46" spans="1:41" x14ac:dyDescent="0.45">
      <c r="D46" s="3" t="s">
        <v>1059</v>
      </c>
      <c r="E46" s="3" t="s">
        <v>1060</v>
      </c>
      <c r="F46" s="1" t="s">
        <v>1061</v>
      </c>
      <c r="G46" s="3">
        <f t="shared" si="14"/>
        <v>-5.7894890000009376</v>
      </c>
      <c r="H46" s="3">
        <f t="shared" si="16"/>
        <v>540.97291363333329</v>
      </c>
      <c r="I46" s="3">
        <f t="shared" si="17"/>
        <v>-4.1568661634164082E-2</v>
      </c>
      <c r="J46" s="7">
        <f t="shared" si="20"/>
        <v>0</v>
      </c>
      <c r="M46" s="7">
        <f t="shared" si="21"/>
        <v>6256.48176435</v>
      </c>
      <c r="N46">
        <f t="shared" si="15"/>
        <v>0.78948550000000006</v>
      </c>
      <c r="AO46">
        <v>0.25838</v>
      </c>
    </row>
    <row r="47" spans="1:41" x14ac:dyDescent="0.45">
      <c r="D47" s="3" t="s">
        <v>1074</v>
      </c>
      <c r="E47" s="3" t="s">
        <v>1075</v>
      </c>
      <c r="F47" s="1" t="s">
        <v>1076</v>
      </c>
      <c r="G47" s="3">
        <f t="shared" si="14"/>
        <v>-5.9146540000009376</v>
      </c>
      <c r="H47" s="3">
        <f t="shared" si="16"/>
        <v>329.88541938333333</v>
      </c>
      <c r="I47" s="3">
        <f t="shared" si="17"/>
        <v>-2.2765177115249665E-2</v>
      </c>
      <c r="J47" s="7">
        <f t="shared" si="20"/>
        <v>0</v>
      </c>
      <c r="M47" s="7">
        <f t="shared" si="21"/>
        <v>6586.3671837333331</v>
      </c>
      <c r="N47">
        <f t="shared" si="15"/>
        <v>0.91465450000000004</v>
      </c>
      <c r="AO47">
        <v>0.74298549999999997</v>
      </c>
    </row>
    <row r="48" spans="1:41" x14ac:dyDescent="0.45">
      <c r="D48" s="3" t="s">
        <v>1104</v>
      </c>
      <c r="E48" s="3" t="s">
        <v>1105</v>
      </c>
      <c r="F48" t="s">
        <v>1106</v>
      </c>
      <c r="G48" s="3">
        <f t="shared" si="14"/>
        <v>-6.2583809999996953</v>
      </c>
      <c r="H48" s="3">
        <f t="shared" si="16"/>
        <v>586.80572603333349</v>
      </c>
      <c r="I48" s="3">
        <f t="shared" si="17"/>
        <v>-3.5145567067547567E-2</v>
      </c>
      <c r="J48" s="7">
        <f t="shared" si="20"/>
        <v>-0.10224849100499694</v>
      </c>
      <c r="M48" s="7">
        <f t="shared" si="21"/>
        <v>7173.1729097666666</v>
      </c>
      <c r="N48">
        <f t="shared" si="15"/>
        <v>0.25838</v>
      </c>
      <c r="AO48">
        <v>0.25843099999999997</v>
      </c>
    </row>
    <row r="49" spans="4:41" x14ac:dyDescent="0.45">
      <c r="D49" s="3" t="s">
        <v>1128</v>
      </c>
      <c r="E49" s="3" t="s">
        <v>1129</v>
      </c>
      <c r="F49" s="1" t="s">
        <v>1130</v>
      </c>
      <c r="G49" s="3">
        <f t="shared" si="14"/>
        <v>-6.7270759999978971</v>
      </c>
      <c r="H49" s="3">
        <f t="shared" si="16"/>
        <v>659.29114283333342</v>
      </c>
      <c r="I49" s="3">
        <f t="shared" si="17"/>
        <v>-4.2654448350447773E-2</v>
      </c>
      <c r="J49" s="7">
        <f t="shared" si="20"/>
        <v>0</v>
      </c>
      <c r="M49" s="7">
        <f t="shared" si="21"/>
        <v>7832.4640526000003</v>
      </c>
      <c r="N49">
        <f t="shared" si="15"/>
        <v>0.74298549999999997</v>
      </c>
      <c r="AO49">
        <v>0.69623299999999999</v>
      </c>
    </row>
    <row r="50" spans="4:41" x14ac:dyDescent="0.45">
      <c r="D50" s="3" t="s">
        <v>1158</v>
      </c>
      <c r="E50" s="3" t="s">
        <v>1159</v>
      </c>
      <c r="F50" s="1" t="s">
        <v>1163</v>
      </c>
      <c r="G50" s="3">
        <f t="shared" si="14"/>
        <v>-7.2584309999996517</v>
      </c>
      <c r="H50" s="3">
        <f t="shared" si="16"/>
        <v>813.2088584666667</v>
      </c>
      <c r="I50" s="3">
        <f t="shared" si="17"/>
        <v>-3.9204319613805688E-2</v>
      </c>
      <c r="J50" s="7">
        <f t="shared" si="20"/>
        <v>-7.3781783579106683E-2</v>
      </c>
      <c r="M50" s="7">
        <f t="shared" si="21"/>
        <v>8645.6729110666674</v>
      </c>
      <c r="N50">
        <f t="shared" si="15"/>
        <v>0.25843099999999997</v>
      </c>
      <c r="AO50">
        <v>0.78980000000000006</v>
      </c>
    </row>
    <row r="51" spans="4:41" x14ac:dyDescent="0.45">
      <c r="D51" s="3" t="s">
        <v>1170</v>
      </c>
      <c r="E51" s="3" t="s">
        <v>1171</v>
      </c>
      <c r="F51" s="1" t="s">
        <v>1172</v>
      </c>
      <c r="G51" s="3">
        <f t="shared" si="14"/>
        <v>-7.6962359999996517</v>
      </c>
      <c r="H51" s="3">
        <f t="shared" si="16"/>
        <v>589.24063059999992</v>
      </c>
      <c r="I51" s="3">
        <f t="shared" si="17"/>
        <v>-4.4579919706575648E-2</v>
      </c>
      <c r="J51" s="7">
        <f t="shared" si="20"/>
        <v>0</v>
      </c>
      <c r="M51" s="7">
        <f t="shared" si="21"/>
        <v>9234.9135416666668</v>
      </c>
      <c r="N51">
        <f t="shared" si="15"/>
        <v>0.69623299999999999</v>
      </c>
      <c r="AO51">
        <v>0.89904600000000001</v>
      </c>
    </row>
    <row r="52" spans="4:41" x14ac:dyDescent="0.45">
      <c r="D52" s="3" t="s">
        <v>1203</v>
      </c>
      <c r="E52" s="3" t="s">
        <v>1204</v>
      </c>
      <c r="F52" s="1" t="s">
        <v>1205</v>
      </c>
      <c r="G52" s="3">
        <f t="shared" si="14"/>
        <v>-7.7898010000044478</v>
      </c>
      <c r="H52" s="3">
        <f t="shared" si="16"/>
        <v>180.85156595000004</v>
      </c>
      <c r="I52" s="3">
        <f t="shared" si="17"/>
        <v>-3.1041478522999551E-2</v>
      </c>
      <c r="J52" s="7">
        <f t="shared" si="20"/>
        <v>0</v>
      </c>
      <c r="M52" s="7">
        <f t="shared" si="21"/>
        <v>9415.7651076166676</v>
      </c>
      <c r="N52">
        <f t="shared" si="15"/>
        <v>0.78980000000000006</v>
      </c>
      <c r="AO52">
        <v>0.57067899999999994</v>
      </c>
    </row>
    <row r="53" spans="4:41" x14ac:dyDescent="0.45">
      <c r="D53" s="3" t="s">
        <v>1227</v>
      </c>
      <c r="E53" s="3" t="s">
        <v>1228</v>
      </c>
      <c r="F53" s="1" t="s">
        <v>1229</v>
      </c>
      <c r="G53" s="3">
        <f t="shared" si="14"/>
        <v>-8.883350000001407</v>
      </c>
      <c r="H53" s="3">
        <f t="shared" si="16"/>
        <v>1883.6015525833332</v>
      </c>
      <c r="I53" s="3">
        <f t="shared" si="17"/>
        <v>-3.4833768272185969E-2</v>
      </c>
      <c r="J53" s="7">
        <f t="shared" si="20"/>
        <v>-3.1853870537381354E-2</v>
      </c>
      <c r="M53" s="7">
        <f t="shared" si="21"/>
        <v>11299.366660200001</v>
      </c>
      <c r="N53">
        <f t="shared" si="15"/>
        <v>0.89904600000000001</v>
      </c>
      <c r="AO53">
        <v>0.72718149999999993</v>
      </c>
    </row>
    <row r="54" spans="4:41" x14ac:dyDescent="0.45">
      <c r="D54" s="3" t="s">
        <v>1245</v>
      </c>
      <c r="E54" s="3" t="s">
        <v>1246</v>
      </c>
      <c r="F54" t="s">
        <v>1247</v>
      </c>
      <c r="G54" s="3">
        <f t="shared" si="14"/>
        <v>-9.5706830000079588</v>
      </c>
      <c r="H54" s="3">
        <f t="shared" si="16"/>
        <v>944.24478451666664</v>
      </c>
      <c r="I54" s="3">
        <f t="shared" si="17"/>
        <v>-4.3675094294010577E-2</v>
      </c>
      <c r="J54" s="7">
        <f t="shared" si="20"/>
        <v>-6.354284501630833E-2</v>
      </c>
      <c r="M54" s="7">
        <f t="shared" si="21"/>
        <v>12243.611444716667</v>
      </c>
      <c r="N54">
        <f t="shared" si="15"/>
        <v>0.57067899999999994</v>
      </c>
      <c r="AO54">
        <v>0.97784499999999996</v>
      </c>
    </row>
    <row r="55" spans="4:41" x14ac:dyDescent="0.45">
      <c r="D55" s="3" t="s">
        <v>1281</v>
      </c>
      <c r="E55" s="3" t="s">
        <v>1282</v>
      </c>
      <c r="F55" t="s">
        <v>1283</v>
      </c>
      <c r="G55" s="3">
        <f t="shared" si="14"/>
        <v>-9.7271839999983651</v>
      </c>
      <c r="H55" s="3">
        <f t="shared" si="16"/>
        <v>234.10261508333329</v>
      </c>
      <c r="I55" s="3">
        <f t="shared" si="17"/>
        <v>-4.0110871875915652E-2</v>
      </c>
      <c r="J55" s="7">
        <f t="shared" si="20"/>
        <v>0</v>
      </c>
      <c r="M55" s="7">
        <f t="shared" si="21"/>
        <v>12477.714059800001</v>
      </c>
      <c r="N55">
        <f t="shared" si="15"/>
        <v>0.72718149999999993</v>
      </c>
      <c r="AO55">
        <v>0.41471800000000003</v>
      </c>
    </row>
    <row r="56" spans="4:41" x14ac:dyDescent="0.45">
      <c r="D56" s="3" t="s">
        <v>1296</v>
      </c>
      <c r="E56" s="3" t="s">
        <v>1297</v>
      </c>
      <c r="F56" t="s">
        <v>1298</v>
      </c>
      <c r="G56" s="3">
        <f t="shared" si="14"/>
        <v>-9.9778460000000138</v>
      </c>
      <c r="H56" s="3">
        <f t="shared" si="16"/>
        <v>402.00417846666664</v>
      </c>
      <c r="I56" s="3">
        <f t="shared" si="17"/>
        <v>-3.7411849940126876E-2</v>
      </c>
      <c r="J56" s="7">
        <f t="shared" si="20"/>
        <v>0</v>
      </c>
      <c r="M56" s="7">
        <f t="shared" si="21"/>
        <v>12879.718238266667</v>
      </c>
      <c r="N56">
        <f t="shared" si="15"/>
        <v>0.97784499999999996</v>
      </c>
      <c r="AO56">
        <v>0.383351</v>
      </c>
    </row>
    <row r="57" spans="4:41" x14ac:dyDescent="0.45">
      <c r="D57" s="3" t="s">
        <v>1317</v>
      </c>
      <c r="E57" s="3" t="s">
        <v>1318</v>
      </c>
      <c r="F57" t="s">
        <v>1319</v>
      </c>
      <c r="G57" s="3">
        <f t="shared" si="14"/>
        <v>-10.414719000000121</v>
      </c>
      <c r="H57" s="3">
        <f t="shared" si="16"/>
        <v>689.40728183333329</v>
      </c>
      <c r="I57" s="3">
        <f t="shared" si="17"/>
        <v>-3.8021617541230658E-2</v>
      </c>
      <c r="J57" s="7">
        <f t="shared" si="20"/>
        <v>-8.7031282640999449E-2</v>
      </c>
      <c r="M57" s="7">
        <f t="shared" si="21"/>
        <v>13569.1255201</v>
      </c>
      <c r="N57">
        <f t="shared" si="15"/>
        <v>0.41471800000000003</v>
      </c>
      <c r="AO57">
        <v>0.33680949999999998</v>
      </c>
    </row>
    <row r="58" spans="4:41" x14ac:dyDescent="0.45">
      <c r="D58" s="3" t="s">
        <v>1341</v>
      </c>
      <c r="E58" s="3" t="s">
        <v>1342</v>
      </c>
      <c r="F58" t="s">
        <v>1343</v>
      </c>
      <c r="G58" s="3">
        <f t="shared" si="14"/>
        <v>-11.383352000001876</v>
      </c>
      <c r="H58" s="3">
        <f t="shared" si="16"/>
        <v>1506.0328064999999</v>
      </c>
      <c r="I58" s="3">
        <f t="shared" si="17"/>
        <v>-3.8590115533519313E-2</v>
      </c>
      <c r="J58" s="7">
        <f t="shared" si="20"/>
        <v>-3.9839769586055167E-2</v>
      </c>
      <c r="M58" s="7">
        <f t="shared" si="21"/>
        <v>15075.1583266</v>
      </c>
      <c r="N58">
        <f t="shared" si="15"/>
        <v>0.383351</v>
      </c>
      <c r="AO58">
        <v>0.53962749999999993</v>
      </c>
    </row>
    <row r="59" spans="4:41" x14ac:dyDescent="0.45">
      <c r="D59" s="3" t="s">
        <v>1361</v>
      </c>
      <c r="E59" s="3" t="s">
        <v>1362</v>
      </c>
      <c r="F59" s="3" t="s">
        <v>1363</v>
      </c>
      <c r="G59" s="3">
        <f t="shared" si="14"/>
        <v>-13.32109900000059</v>
      </c>
      <c r="H59" s="3">
        <f t="shared" si="16"/>
        <v>1320.1323053666667</v>
      </c>
      <c r="I59" s="3">
        <f t="shared" si="17"/>
        <v>-8.8070581658578742E-2</v>
      </c>
      <c r="J59" s="7">
        <f t="shared" si="20"/>
        <v>-9.0899979882448231E-2</v>
      </c>
      <c r="M59" s="7">
        <f t="shared" si="21"/>
        <v>16395.290631966665</v>
      </c>
      <c r="N59">
        <f t="shared" ref="N59:N64" si="22">(MID(F59, 2, 7) + MID(F59, 12, 8)) / 2</f>
        <v>0.33680949999999998</v>
      </c>
      <c r="AO59">
        <v>0.55577699999999997</v>
      </c>
    </row>
    <row r="60" spans="4:41" x14ac:dyDescent="0.45">
      <c r="D60" s="3" t="s">
        <v>1386</v>
      </c>
      <c r="E60" s="3" t="s">
        <v>1387</v>
      </c>
      <c r="F60" s="3" t="s">
        <v>1388</v>
      </c>
      <c r="G60" s="3">
        <f t="shared" si="14"/>
        <v>-13.539631999995793</v>
      </c>
      <c r="H60" s="3">
        <f t="shared" si="16"/>
        <v>289.25363741666666</v>
      </c>
      <c r="I60" s="3">
        <f t="shared" si="17"/>
        <v>-4.5330389331714807E-2</v>
      </c>
      <c r="J60" s="7">
        <f t="shared" si="20"/>
        <v>0</v>
      </c>
      <c r="M60" s="7">
        <f t="shared" si="21"/>
        <v>16684.544269383332</v>
      </c>
      <c r="N60">
        <f t="shared" si="22"/>
        <v>0.53962749999999993</v>
      </c>
      <c r="AO60">
        <v>0.149925</v>
      </c>
    </row>
    <row r="61" spans="4:41" x14ac:dyDescent="0.45">
      <c r="D61" s="3" t="s">
        <v>1422</v>
      </c>
      <c r="E61" s="3" t="s">
        <v>1423</v>
      </c>
      <c r="F61" s="3" t="s">
        <v>1424</v>
      </c>
      <c r="G61" s="3">
        <f t="shared" si="14"/>
        <v>-14.539930000002345</v>
      </c>
      <c r="H61" s="3">
        <f t="shared" si="16"/>
        <v>1402.9833399166666</v>
      </c>
      <c r="I61" s="3">
        <f t="shared" si="17"/>
        <v>-4.2778754595872832E-2</v>
      </c>
      <c r="J61" s="7">
        <f t="shared" si="20"/>
        <v>-4.2766010324515928E-2</v>
      </c>
      <c r="M61" s="7">
        <f t="shared" si="21"/>
        <v>18087.527609299999</v>
      </c>
      <c r="N61">
        <f t="shared" si="22"/>
        <v>0.55577699999999997</v>
      </c>
      <c r="AO61">
        <v>0.49278050000000001</v>
      </c>
    </row>
    <row r="62" spans="4:41" x14ac:dyDescent="0.45">
      <c r="D62" s="3" t="s">
        <v>1437</v>
      </c>
      <c r="E62" s="3" t="s">
        <v>1438</v>
      </c>
      <c r="F62" s="3" t="s">
        <v>1439</v>
      </c>
      <c r="G62" s="3">
        <f t="shared" si="14"/>
        <v>-15.133438999999303</v>
      </c>
      <c r="H62" s="3">
        <f t="shared" si="16"/>
        <v>1360.0932214666668</v>
      </c>
      <c r="I62" s="3">
        <f t="shared" si="17"/>
        <v>-2.6182425908583377E-2</v>
      </c>
      <c r="J62" s="7">
        <f t="shared" si="20"/>
        <v>-4.4114623213325439E-2</v>
      </c>
      <c r="M62" s="7">
        <f t="shared" si="21"/>
        <v>19447.620830766667</v>
      </c>
      <c r="N62">
        <f t="shared" si="22"/>
        <v>0.149925</v>
      </c>
      <c r="Y62" s="3"/>
      <c r="Z62" s="3"/>
      <c r="AA62" s="3"/>
      <c r="AO62">
        <v>0.27417049999999998</v>
      </c>
    </row>
    <row r="63" spans="4:41" x14ac:dyDescent="0.45">
      <c r="D63" s="3" t="s">
        <v>1455</v>
      </c>
      <c r="E63" s="3" t="s">
        <v>1456</v>
      </c>
      <c r="F63" s="3" t="s">
        <v>1457</v>
      </c>
      <c r="G63" s="3">
        <f t="shared" si="14"/>
        <v>-15.477219999999303</v>
      </c>
      <c r="H63" s="3">
        <f t="shared" si="16"/>
        <v>563.67238944999997</v>
      </c>
      <c r="I63" s="3">
        <f t="shared" si="17"/>
        <v>-3.6593702984328416E-2</v>
      </c>
      <c r="J63" s="7">
        <f t="shared" si="20"/>
        <v>0</v>
      </c>
      <c r="M63" s="7">
        <f t="shared" si="21"/>
        <v>20011.293220216667</v>
      </c>
      <c r="N63">
        <f t="shared" si="22"/>
        <v>0.49278050000000001</v>
      </c>
      <c r="AO63">
        <v>0.72750550000000003</v>
      </c>
    </row>
    <row r="64" spans="4:41" x14ac:dyDescent="0.45">
      <c r="D64" s="3" t="s">
        <v>1476</v>
      </c>
      <c r="E64" s="3" t="s">
        <v>1477</v>
      </c>
      <c r="F64" s="3" t="s">
        <v>1478</v>
      </c>
      <c r="G64" s="3">
        <f t="shared" si="14"/>
        <v>-16.258866999999857</v>
      </c>
      <c r="H64" s="3">
        <f t="shared" si="16"/>
        <v>1562.7630290666668</v>
      </c>
      <c r="I64" s="3">
        <f t="shared" si="17"/>
        <v>-3.001019292607833E-2</v>
      </c>
      <c r="J64" s="7">
        <f t="shared" si="20"/>
        <v>-3.8393536885649233E-2</v>
      </c>
      <c r="M64" s="7">
        <f t="shared" si="21"/>
        <v>21574.056249283334</v>
      </c>
      <c r="N64">
        <f t="shared" si="22"/>
        <v>0.27417049999999998</v>
      </c>
      <c r="AO64">
        <v>0.91562549999999998</v>
      </c>
    </row>
    <row r="65" spans="4:41" x14ac:dyDescent="0.45">
      <c r="D65" s="3" t="s">
        <v>1500</v>
      </c>
      <c r="E65" s="3" t="s">
        <v>1501</v>
      </c>
      <c r="F65" s="3" t="s">
        <v>1502</v>
      </c>
      <c r="G65" s="3">
        <f t="shared" si="14"/>
        <v>-16.727506000005853</v>
      </c>
      <c r="H65" s="3">
        <f t="shared" si="16"/>
        <v>790.67448461666675</v>
      </c>
      <c r="I65" s="3">
        <f t="shared" si="17"/>
        <v>-3.5562472986581925E-2</v>
      </c>
      <c r="J65" s="7">
        <f t="shared" si="20"/>
        <v>0</v>
      </c>
      <c r="M65" s="7">
        <f t="shared" si="21"/>
        <v>22364.7307339</v>
      </c>
      <c r="N65">
        <f>(MID(F65, 2, 7) + MID(F65, 12, 8)) / 2</f>
        <v>0.72750550000000003</v>
      </c>
      <c r="AO65">
        <v>0.27424950000000003</v>
      </c>
    </row>
    <row r="66" spans="4:41" hidden="1" x14ac:dyDescent="0.45">
      <c r="D66" s="3" t="s">
        <v>1529</v>
      </c>
      <c r="E66" s="3" t="s">
        <v>1530</v>
      </c>
      <c r="F66" s="3" t="s">
        <v>1531</v>
      </c>
      <c r="G66" s="3">
        <f t="shared" si="14"/>
        <v>-16.915625999996262</v>
      </c>
      <c r="H66" s="3">
        <f t="shared" si="16"/>
        <v>442.08645353333327</v>
      </c>
      <c r="I66" s="3">
        <f t="shared" si="17"/>
        <v>-2.5531657686438225E-2</v>
      </c>
      <c r="J66" s="7">
        <f t="shared" si="20"/>
        <v>0</v>
      </c>
      <c r="M66" s="7">
        <f t="shared" si="21"/>
        <v>22806.817187433335</v>
      </c>
      <c r="N66">
        <f>(MID(F66, 2, 7) + MID(F66, 12, 8)) / 2</f>
        <v>0.91562549999999998</v>
      </c>
      <c r="AO66">
        <v>0</v>
      </c>
    </row>
    <row r="67" spans="4:41" hidden="1" x14ac:dyDescent="0.45">
      <c r="D67" s="3" t="s">
        <v>1549</v>
      </c>
      <c r="E67" s="3" t="s">
        <v>1550</v>
      </c>
      <c r="F67" s="3" t="s">
        <v>1551</v>
      </c>
      <c r="G67" s="3">
        <f t="shared" si="14"/>
        <v>-17.25825499999322</v>
      </c>
      <c r="H67" s="3">
        <f t="shared" si="16"/>
        <v>1064.1723879166666</v>
      </c>
      <c r="I67" s="3">
        <f t="shared" si="17"/>
        <v>-1.9318054323945958E-2</v>
      </c>
      <c r="J67" s="7">
        <f t="shared" si="20"/>
        <v>-5.6381842529726015E-2</v>
      </c>
      <c r="M67" s="7">
        <f t="shared" si="21"/>
        <v>23870.989575350002</v>
      </c>
      <c r="N67">
        <f>(MID(F67, 2, 7) + MID(F67, 12, 8)) / 2</f>
        <v>0.27424950000000003</v>
      </c>
      <c r="AO67">
        <v>0</v>
      </c>
    </row>
    <row r="68" spans="4:41" hidden="1" x14ac:dyDescent="0.45">
      <c r="D68" s="3"/>
      <c r="E68" s="3"/>
      <c r="F68" s="3"/>
      <c r="AO68">
        <v>0</v>
      </c>
    </row>
    <row r="69" spans="4:41" x14ac:dyDescent="0.45">
      <c r="D69" s="12" t="str">
        <f>("№"&amp;B5&amp;" - "&amp;A5)</f>
        <v>№4 - IMGCOF</v>
      </c>
      <c r="E69" s="12"/>
      <c r="F69" s="12"/>
      <c r="G69" s="13"/>
      <c r="H69" s="15"/>
      <c r="I69" s="15"/>
      <c r="J69" s="14"/>
      <c r="K69" s="13"/>
      <c r="L69" s="13"/>
      <c r="M69" s="14"/>
      <c r="N69" s="13"/>
      <c r="AO69">
        <v>0.43065500000000001</v>
      </c>
    </row>
    <row r="70" spans="4:41" x14ac:dyDescent="0.45">
      <c r="D70" s="12" t="s">
        <v>8</v>
      </c>
      <c r="E70" s="12" t="s">
        <v>9</v>
      </c>
      <c r="F70" s="12" t="s">
        <v>10</v>
      </c>
      <c r="G70" s="12" t="s">
        <v>346</v>
      </c>
      <c r="H70" s="12" t="s">
        <v>222</v>
      </c>
      <c r="I70" s="12" t="s">
        <v>223</v>
      </c>
      <c r="J70" s="12" t="s">
        <v>224</v>
      </c>
      <c r="K70" s="12" t="s">
        <v>225</v>
      </c>
      <c r="L70" s="12" t="s">
        <v>345</v>
      </c>
      <c r="M70" s="12" t="s">
        <v>344</v>
      </c>
      <c r="N70" s="12"/>
      <c r="Y70" s="3"/>
      <c r="Z70" s="3"/>
      <c r="AA70" s="3"/>
      <c r="AO70">
        <v>3.9827500000000002E-2</v>
      </c>
    </row>
    <row r="71" spans="4:41" x14ac:dyDescent="0.45">
      <c r="D71" s="2" t="s">
        <v>828</v>
      </c>
      <c r="E71" s="2" t="s">
        <v>829</v>
      </c>
      <c r="F71" s="1" t="s">
        <v>830</v>
      </c>
      <c r="G71" s="3">
        <f t="shared" ref="G71:G101" si="23">(DATEVALUE(LEFT(E71, 10))-DATEVALUE(LEFT(D71, 10))) * 86400 + (TIMEVALUE(MID(E71, 12, 8)) - TIMEVALUE(MID(D71, 12, 8))) * 86400 + (VALUE(RIGHT(E71, 6)) - VALUE(RIGHT(D71, 6))) / 1000000</f>
        <v>-0.41475400000055596</v>
      </c>
      <c r="H71" s="3"/>
      <c r="I71" s="3"/>
      <c r="J71" s="6"/>
      <c r="K71" s="3" cm="1">
        <f t="array" ref="K71">((LOOKUP(2,1/(G71:G92&lt;&gt;""),G71:G92) - G71)/SUM(H72:H92)) * 60</f>
        <v>-4.2784194635179733E-2</v>
      </c>
      <c r="L71" s="3">
        <f>((FLOOR(MAX(G71:G103), 1)-FLOOR(MIN(G71:G103), 1))/SUM(H72:H103)) * 60</f>
        <v>4.2710895215420798E-2</v>
      </c>
      <c r="M71" s="6">
        <v>0</v>
      </c>
      <c r="N71">
        <f t="shared" ref="N71:N101" si="24">(MID(F71, 2, 7) + MID(F71, 12, 8)) / 2</f>
        <v>0.43065500000000001</v>
      </c>
      <c r="Y71" s="3"/>
      <c r="Z71" s="3"/>
      <c r="AA71" s="3"/>
      <c r="AO71">
        <v>0.43017649999999996</v>
      </c>
    </row>
    <row r="72" spans="4:41" x14ac:dyDescent="0.45">
      <c r="D72" s="2" t="s">
        <v>857</v>
      </c>
      <c r="E72" s="2" t="s">
        <v>858</v>
      </c>
      <c r="F72" s="1" t="s">
        <v>859</v>
      </c>
      <c r="G72" s="3">
        <f t="shared" si="23"/>
        <v>-1.03983100000351</v>
      </c>
      <c r="H72" s="3">
        <f t="shared" ref="H72:H101" si="25">((DATEVALUE(LEFT(D72,10))-DATEVALUE(LEFT(D71,10)))*86400+(TIMEVALUE(MID(D72,12,8))-TIMEVALUE(MID(D71,12,8)))*86400+(VALUE(RIGHT(D72,6))-VALUE(RIGHT(D71,6)))/1000000)/ 60</f>
        <v>805.27707701666668</v>
      </c>
      <c r="I72" s="3">
        <f t="shared" ref="I72:I101" si="26">3600 * (G72-G71) / ((DATEVALUE(LEFT(D72, 10))-DATEVALUE(LEFT(D71, 10))) * 86400 + (TIMEVALUE(MID(D72, 12, 8)) - TIMEVALUE(MID(D71, 12, 8))) * 86400 + (VALUE(RIGHT(D72, 6)) - VALUE(RIGHT(D71, 6))) / 1000000)</f>
        <v>-4.6573559673549501E-2</v>
      </c>
      <c r="J72" s="7">
        <f t="shared" ref="J72:J78" si="27">(FLOOR(G72, 1) - FLOOR(G71, 1)) / H72 * 60</f>
        <v>-7.4508516028152366E-2</v>
      </c>
      <c r="L72" s="3"/>
      <c r="M72" s="7">
        <f t="shared" ref="M72:M78" si="28">M71 + H72</f>
        <v>805.27707701666668</v>
      </c>
      <c r="N72">
        <f t="shared" si="24"/>
        <v>3.9827500000000002E-2</v>
      </c>
      <c r="AO72">
        <v>0.24269649999999998</v>
      </c>
    </row>
    <row r="73" spans="4:41" x14ac:dyDescent="0.45">
      <c r="D73" s="3" t="s">
        <v>875</v>
      </c>
      <c r="E73" s="2" t="s">
        <v>877</v>
      </c>
      <c r="F73" s="2" t="s">
        <v>876</v>
      </c>
      <c r="G73" s="3">
        <f t="shared" si="23"/>
        <v>-1.4145969999939179</v>
      </c>
      <c r="H73" s="3">
        <f t="shared" si="25"/>
        <v>507.63958154999995</v>
      </c>
      <c r="I73" s="3">
        <f t="shared" si="26"/>
        <v>-4.4295127520921483E-2</v>
      </c>
      <c r="J73" s="7">
        <f t="shared" si="27"/>
        <v>0</v>
      </c>
      <c r="K73" t="s">
        <v>340</v>
      </c>
      <c r="M73" s="7">
        <f t="shared" si="28"/>
        <v>1312.9166585666667</v>
      </c>
      <c r="N73">
        <f t="shared" si="24"/>
        <v>0.43017649999999996</v>
      </c>
      <c r="AO73">
        <v>0.14898400000000001</v>
      </c>
    </row>
    <row r="74" spans="4:41" x14ac:dyDescent="0.45">
      <c r="D74" s="2" t="s">
        <v>914</v>
      </c>
      <c r="E74" s="2" t="s">
        <v>915</v>
      </c>
      <c r="F74" s="1" t="s">
        <v>916</v>
      </c>
      <c r="G74" s="3">
        <f t="shared" si="23"/>
        <v>-1.2277610000035102</v>
      </c>
      <c r="H74" s="3">
        <f t="shared" si="25"/>
        <v>1405.0302184166665</v>
      </c>
      <c r="I74" s="3">
        <f t="shared" si="26"/>
        <v>7.9785899637498398E-3</v>
      </c>
      <c r="J74" s="7">
        <f t="shared" si="27"/>
        <v>0</v>
      </c>
      <c r="K74" s="3">
        <f>(MAX(G71:G92)/(DATEDIF(VALUE(DATE(2000+MID(B14,1,2),MID(B14,4,2),MID(B14,7,2))),VALUE(DATEVALUE(MID(D71,1,10))+TIMEVALUE(MID(D71,12,8))+MID(D71,21,6)/86400000),"d")*1440+(TIMEVALUE(MID(D71,12,8))-TIMEVALUE(RIGHT(B14,8)))*1440+MID(D71,21,6)/86400000+MAX(M71:M92))*60)</f>
        <v>-1.650524906813527E-3</v>
      </c>
      <c r="L74" s="3"/>
      <c r="M74" s="7">
        <f t="shared" si="28"/>
        <v>2717.9468769833329</v>
      </c>
      <c r="N74">
        <f t="shared" si="24"/>
        <v>0.24269649999999998</v>
      </c>
      <c r="AO74">
        <v>0.35343449999999998</v>
      </c>
    </row>
    <row r="75" spans="4:41" x14ac:dyDescent="0.45">
      <c r="D75" s="2" t="s">
        <v>937</v>
      </c>
      <c r="E75" s="2" t="s">
        <v>938</v>
      </c>
      <c r="F75" s="1" t="s">
        <v>946</v>
      </c>
      <c r="G75" s="3">
        <f t="shared" si="23"/>
        <v>-3.1331019999974279</v>
      </c>
      <c r="H75" s="3">
        <f t="shared" si="25"/>
        <v>1225.5817549999999</v>
      </c>
      <c r="I75" s="3">
        <f t="shared" si="26"/>
        <v>-9.3278526326980998E-2</v>
      </c>
      <c r="J75" s="7">
        <f t="shared" si="27"/>
        <v>-9.7912684739664718E-2</v>
      </c>
      <c r="M75" s="7">
        <f t="shared" si="28"/>
        <v>3943.5286319833331</v>
      </c>
      <c r="N75">
        <f t="shared" si="24"/>
        <v>0.14898400000000001</v>
      </c>
      <c r="AO75">
        <v>0.60274950000000005</v>
      </c>
    </row>
    <row r="76" spans="4:41" x14ac:dyDescent="0.45">
      <c r="D76" s="2" t="s">
        <v>953</v>
      </c>
      <c r="E76" s="2" t="s">
        <v>954</v>
      </c>
      <c r="F76" s="1" t="s">
        <v>955</v>
      </c>
      <c r="G76" s="3">
        <f t="shared" si="23"/>
        <v>-3.3534360000004253</v>
      </c>
      <c r="H76" s="3">
        <f t="shared" si="25"/>
        <v>321.50366028333332</v>
      </c>
      <c r="I76" s="3">
        <f t="shared" si="26"/>
        <v>-4.1119407438563363E-2</v>
      </c>
      <c r="J76" s="7">
        <f t="shared" si="27"/>
        <v>0</v>
      </c>
      <c r="K76" s="8" t="s">
        <v>995</v>
      </c>
      <c r="M76" s="7">
        <f t="shared" si="28"/>
        <v>4265.0322922666664</v>
      </c>
      <c r="N76">
        <f t="shared" si="24"/>
        <v>0.35343449999999998</v>
      </c>
      <c r="AO76">
        <v>0.72728550000000003</v>
      </c>
    </row>
    <row r="77" spans="4:41" x14ac:dyDescent="0.45">
      <c r="D77" s="2" t="s">
        <v>985</v>
      </c>
      <c r="E77" s="2" t="s">
        <v>986</v>
      </c>
      <c r="F77" s="1" t="s">
        <v>987</v>
      </c>
      <c r="G77" s="3">
        <f t="shared" si="23"/>
        <v>-2.6027530000004688</v>
      </c>
      <c r="H77" s="3">
        <f t="shared" si="25"/>
        <v>538.7541822500001</v>
      </c>
      <c r="I77" s="3">
        <f t="shared" si="26"/>
        <v>8.3602098106956055E-2</v>
      </c>
      <c r="J77" s="7">
        <f t="shared" si="27"/>
        <v>0.11136804497632276</v>
      </c>
      <c r="K77">
        <f>_xlfn.STDEV.P(I72:I92)</f>
        <v>4.7553795003396022E-2</v>
      </c>
      <c r="M77" s="7">
        <f t="shared" si="28"/>
        <v>4803.7864745166662</v>
      </c>
      <c r="N77">
        <f t="shared" si="24"/>
        <v>0.60274950000000005</v>
      </c>
      <c r="AO77">
        <v>0.1020765</v>
      </c>
    </row>
    <row r="78" spans="4:41" x14ac:dyDescent="0.45">
      <c r="D78" s="3" t="s">
        <v>1002</v>
      </c>
      <c r="E78" s="3" t="s">
        <v>1003</v>
      </c>
      <c r="F78" s="1" t="s">
        <v>1004</v>
      </c>
      <c r="G78" s="3">
        <f t="shared" si="23"/>
        <v>-2.7272880000004691</v>
      </c>
      <c r="H78" s="3">
        <f t="shared" si="25"/>
        <v>213.40207013333335</v>
      </c>
      <c r="I78" s="3">
        <f t="shared" si="26"/>
        <v>-3.5014187047630131E-2</v>
      </c>
      <c r="J78" s="7">
        <f t="shared" si="27"/>
        <v>0</v>
      </c>
      <c r="M78" s="7">
        <f t="shared" si="28"/>
        <v>5017.1885446499991</v>
      </c>
      <c r="N78">
        <f t="shared" si="24"/>
        <v>0.72728550000000003</v>
      </c>
      <c r="AO78">
        <v>0.49313200000000001</v>
      </c>
    </row>
    <row r="79" spans="4:41" x14ac:dyDescent="0.45">
      <c r="D79" s="3" t="s">
        <v>1038</v>
      </c>
      <c r="E79" s="3" t="s">
        <v>1039</v>
      </c>
      <c r="F79" s="1" t="s">
        <v>1040</v>
      </c>
      <c r="G79" s="3">
        <f t="shared" si="23"/>
        <v>-5.1020780000003381</v>
      </c>
      <c r="H79" s="3">
        <f t="shared" si="25"/>
        <v>699.62290664999989</v>
      </c>
      <c r="I79" s="3">
        <f t="shared" si="26"/>
        <v>-0.20366314288116105</v>
      </c>
      <c r="J79" s="7">
        <f t="shared" ref="J79:J101" si="29">(FLOOR(G79, 1) - FLOOR(G78, 1)) / H79 * 60</f>
        <v>-0.25728145589442303</v>
      </c>
      <c r="M79" s="7">
        <f t="shared" ref="M79:M101" si="30">M78 + H79</f>
        <v>5716.8114512999991</v>
      </c>
      <c r="N79">
        <f t="shared" si="24"/>
        <v>0.1020765</v>
      </c>
      <c r="AO79">
        <v>0.63344500000000004</v>
      </c>
    </row>
    <row r="80" spans="4:41" x14ac:dyDescent="0.45">
      <c r="D80" s="3" t="s">
        <v>1050</v>
      </c>
      <c r="E80" s="3" t="s">
        <v>1051</v>
      </c>
      <c r="F80" s="1" t="s">
        <v>1052</v>
      </c>
      <c r="G80" s="3">
        <f t="shared" si="23"/>
        <v>-5.4768800000009374</v>
      </c>
      <c r="H80" s="3">
        <f t="shared" si="25"/>
        <v>526.45624780000003</v>
      </c>
      <c r="I80" s="3">
        <f t="shared" si="26"/>
        <v>-4.2716028338558469E-2</v>
      </c>
      <c r="J80" s="7">
        <f t="shared" si="29"/>
        <v>0</v>
      </c>
      <c r="M80" s="7">
        <f t="shared" si="30"/>
        <v>6243.2676990999989</v>
      </c>
      <c r="N80">
        <f t="shared" si="24"/>
        <v>0.49313200000000001</v>
      </c>
      <c r="AO80">
        <v>0.99240949999999994</v>
      </c>
    </row>
    <row r="81" spans="4:41" x14ac:dyDescent="0.45">
      <c r="D81" s="3" t="s">
        <v>1077</v>
      </c>
      <c r="E81" s="3" t="s">
        <v>1078</v>
      </c>
      <c r="F81" s="1" t="s">
        <v>1079</v>
      </c>
      <c r="G81" s="3">
        <f t="shared" si="23"/>
        <v>-5.6334490000009376</v>
      </c>
      <c r="H81" s="3">
        <f t="shared" si="25"/>
        <v>340.7359489333333</v>
      </c>
      <c r="I81" s="3">
        <f t="shared" si="26"/>
        <v>-2.7570146412223797E-2</v>
      </c>
      <c r="J81" s="7">
        <f t="shared" si="29"/>
        <v>0</v>
      </c>
      <c r="M81" s="7">
        <f t="shared" si="30"/>
        <v>6584.003648033332</v>
      </c>
      <c r="N81">
        <f t="shared" si="24"/>
        <v>0.63344500000000004</v>
      </c>
      <c r="AO81">
        <v>0.4780585</v>
      </c>
    </row>
    <row r="82" spans="4:41" x14ac:dyDescent="0.45">
      <c r="D82" s="3" t="s">
        <v>1107</v>
      </c>
      <c r="E82" s="3" t="s">
        <v>1108</v>
      </c>
      <c r="F82" s="1" t="s">
        <v>1109</v>
      </c>
      <c r="G82" s="3">
        <f t="shared" si="23"/>
        <v>-5.9768319999997388</v>
      </c>
      <c r="H82" s="3">
        <f t="shared" si="25"/>
        <v>584.32238310000002</v>
      </c>
      <c r="I82" s="3">
        <f t="shared" si="26"/>
        <v>-3.5259611125323102E-2</v>
      </c>
      <c r="J82" s="7">
        <f t="shared" si="29"/>
        <v>0</v>
      </c>
      <c r="M82" s="7">
        <f t="shared" si="30"/>
        <v>7168.3260311333324</v>
      </c>
      <c r="N82">
        <f t="shared" si="24"/>
        <v>0.99240949999999994</v>
      </c>
      <c r="AO82">
        <v>8.7140000000000013E-3</v>
      </c>
    </row>
    <row r="83" spans="4:41" x14ac:dyDescent="0.45">
      <c r="D83" s="3" t="s">
        <v>1125</v>
      </c>
      <c r="E83" s="3" t="s">
        <v>1126</v>
      </c>
      <c r="F83" s="1" t="s">
        <v>1127</v>
      </c>
      <c r="G83" s="3">
        <f t="shared" si="23"/>
        <v>-6.4780619999978963</v>
      </c>
      <c r="H83" s="3">
        <f t="shared" si="25"/>
        <v>655.54168938333339</v>
      </c>
      <c r="I83" s="3">
        <f t="shared" si="26"/>
        <v>-4.587625850032484E-2</v>
      </c>
      <c r="J83" s="7">
        <f t="shared" si="29"/>
        <v>-9.1527359696134458E-2</v>
      </c>
      <c r="M83" s="7">
        <f t="shared" si="30"/>
        <v>7823.8677205166659</v>
      </c>
      <c r="N83">
        <f t="shared" si="24"/>
        <v>0.4780585</v>
      </c>
      <c r="AO83">
        <v>0.4308225</v>
      </c>
    </row>
    <row r="84" spans="4:41" x14ac:dyDescent="0.45">
      <c r="D84" s="3" t="s">
        <v>1160</v>
      </c>
      <c r="E84" s="3" t="s">
        <v>1161</v>
      </c>
      <c r="F84" s="1" t="s">
        <v>1162</v>
      </c>
      <c r="G84" s="3">
        <f t="shared" si="23"/>
        <v>-7.0087149999996523</v>
      </c>
      <c r="H84" s="3">
        <f t="shared" si="25"/>
        <v>817.22551926666665</v>
      </c>
      <c r="I84" s="3">
        <f t="shared" si="26"/>
        <v>-3.8960090268199278E-2</v>
      </c>
      <c r="J84" s="7">
        <f t="shared" si="29"/>
        <v>-7.3419146350007167E-2</v>
      </c>
      <c r="M84" s="7">
        <f t="shared" si="30"/>
        <v>8641.093239783333</v>
      </c>
      <c r="N84">
        <f t="shared" si="24"/>
        <v>8.7140000000000013E-3</v>
      </c>
      <c r="AO84">
        <v>0.54024950000000005</v>
      </c>
    </row>
    <row r="85" spans="4:41" x14ac:dyDescent="0.45">
      <c r="D85" s="3" t="s">
        <v>1167</v>
      </c>
      <c r="E85" s="3" t="s">
        <v>1168</v>
      </c>
      <c r="F85" s="1" t="s">
        <v>1169</v>
      </c>
      <c r="G85" s="3">
        <f t="shared" si="23"/>
        <v>-7.4148619999996521</v>
      </c>
      <c r="H85" s="3">
        <f t="shared" si="25"/>
        <v>580.72343469999998</v>
      </c>
      <c r="I85" s="3">
        <f t="shared" si="26"/>
        <v>-4.1962866562443531E-2</v>
      </c>
      <c r="J85" s="7">
        <f t="shared" si="29"/>
        <v>0</v>
      </c>
      <c r="M85" s="7">
        <f t="shared" si="30"/>
        <v>9221.8166744833325</v>
      </c>
      <c r="N85">
        <f t="shared" si="24"/>
        <v>0.4308225</v>
      </c>
      <c r="AO85">
        <v>0.68053600000000003</v>
      </c>
    </row>
    <row r="86" spans="4:41" x14ac:dyDescent="0.45">
      <c r="D86" s="3" t="s">
        <v>1206</v>
      </c>
      <c r="E86" s="3" t="s">
        <v>1207</v>
      </c>
      <c r="F86" s="1" t="s">
        <v>1208</v>
      </c>
      <c r="G86" s="3">
        <f t="shared" si="23"/>
        <v>-7.5402520000044477</v>
      </c>
      <c r="H86" s="3">
        <f t="shared" si="25"/>
        <v>188.76875768333335</v>
      </c>
      <c r="I86" s="3">
        <f t="shared" si="26"/>
        <v>-3.9855112109751345E-2</v>
      </c>
      <c r="J86" s="7">
        <f t="shared" si="29"/>
        <v>0</v>
      </c>
      <c r="M86" s="7">
        <f t="shared" si="30"/>
        <v>9410.5854321666666</v>
      </c>
      <c r="N86">
        <f t="shared" si="24"/>
        <v>0.54024950000000005</v>
      </c>
      <c r="AO86">
        <v>0.35193849999999999</v>
      </c>
    </row>
    <row r="87" spans="4:41" x14ac:dyDescent="0.45">
      <c r="D87" s="3" t="s">
        <v>1221</v>
      </c>
      <c r="E87" s="3" t="s">
        <v>1222</v>
      </c>
      <c r="F87" s="1" t="s">
        <v>1223</v>
      </c>
      <c r="G87" s="3">
        <f t="shared" si="23"/>
        <v>-8.6646690000014068</v>
      </c>
      <c r="H87" s="3">
        <f t="shared" si="25"/>
        <v>1878.2687297500001</v>
      </c>
      <c r="I87" s="3">
        <f t="shared" si="26"/>
        <v>-3.5918726075366877E-2</v>
      </c>
      <c r="J87" s="7">
        <f t="shared" si="29"/>
        <v>-3.1944310763234646E-2</v>
      </c>
      <c r="M87" s="7">
        <f t="shared" si="30"/>
        <v>11288.854161916666</v>
      </c>
      <c r="N87">
        <f t="shared" si="24"/>
        <v>0.68053600000000003</v>
      </c>
      <c r="AO87">
        <v>0.50841350000000007</v>
      </c>
    </row>
    <row r="88" spans="4:41" x14ac:dyDescent="0.45">
      <c r="D88" s="3" t="s">
        <v>1248</v>
      </c>
      <c r="E88" s="3" t="s">
        <v>1249</v>
      </c>
      <c r="F88" t="s">
        <v>1250</v>
      </c>
      <c r="G88" s="3">
        <f t="shared" si="23"/>
        <v>-9.3519409999983658</v>
      </c>
      <c r="H88" s="3">
        <f t="shared" si="25"/>
        <v>950.31145206666656</v>
      </c>
      <c r="I88" s="3">
        <f t="shared" si="26"/>
        <v>-4.3392426672476545E-2</v>
      </c>
      <c r="J88" s="7">
        <f t="shared" si="29"/>
        <v>-6.3137195568375465E-2</v>
      </c>
      <c r="M88" s="7">
        <f t="shared" si="30"/>
        <v>12239.165613983332</v>
      </c>
      <c r="N88">
        <f t="shared" si="24"/>
        <v>0.35193849999999999</v>
      </c>
      <c r="AO88">
        <v>0.75833850000000003</v>
      </c>
    </row>
    <row r="89" spans="4:41" x14ac:dyDescent="0.45">
      <c r="D89" s="3" t="s">
        <v>1272</v>
      </c>
      <c r="E89" s="3" t="s">
        <v>1273</v>
      </c>
      <c r="F89" t="s">
        <v>1274</v>
      </c>
      <c r="G89" s="3">
        <f t="shared" si="23"/>
        <v>-9.5084159999983662</v>
      </c>
      <c r="H89" s="3">
        <f t="shared" si="25"/>
        <v>225.90261234999997</v>
      </c>
      <c r="I89" s="3">
        <f t="shared" si="26"/>
        <v>-4.1559944359802453E-2</v>
      </c>
      <c r="J89" s="7">
        <f t="shared" si="29"/>
        <v>0</v>
      </c>
      <c r="M89" s="7">
        <f t="shared" si="30"/>
        <v>12465.068226333333</v>
      </c>
      <c r="N89">
        <f t="shared" si="24"/>
        <v>0.50841350000000007</v>
      </c>
      <c r="AO89">
        <v>0.21178350000000001</v>
      </c>
    </row>
    <row r="90" spans="4:41" x14ac:dyDescent="0.45">
      <c r="D90" s="3" t="s">
        <v>1284</v>
      </c>
      <c r="E90" s="3" t="s">
        <v>1285</v>
      </c>
      <c r="F90" t="s">
        <v>1286</v>
      </c>
      <c r="G90" s="3">
        <f t="shared" si="23"/>
        <v>-9.7583410000000139</v>
      </c>
      <c r="H90" s="3">
        <f t="shared" si="25"/>
        <v>394.60416713333331</v>
      </c>
      <c r="I90" s="3">
        <f t="shared" si="26"/>
        <v>-3.8001372638905802E-2</v>
      </c>
      <c r="J90" s="7">
        <f t="shared" si="29"/>
        <v>0</v>
      </c>
      <c r="M90" s="7">
        <f t="shared" si="30"/>
        <v>12859.672393466666</v>
      </c>
      <c r="N90">
        <f t="shared" si="24"/>
        <v>0.75833850000000003</v>
      </c>
      <c r="AO90">
        <v>0.18035950000000001</v>
      </c>
    </row>
    <row r="91" spans="4:41" x14ac:dyDescent="0.45">
      <c r="D91" s="3" t="s">
        <v>1326</v>
      </c>
      <c r="E91" s="3" t="s">
        <v>1327</v>
      </c>
      <c r="F91" t="s">
        <v>1328</v>
      </c>
      <c r="G91" s="3">
        <f t="shared" si="23"/>
        <v>-10.195969000000121</v>
      </c>
      <c r="H91" s="3">
        <f t="shared" si="25"/>
        <v>710.57395514999996</v>
      </c>
      <c r="I91" s="3">
        <f t="shared" si="26"/>
        <v>-3.6952775724046184E-2</v>
      </c>
      <c r="J91" s="7">
        <f t="shared" si="29"/>
        <v>-8.4438782993860484E-2</v>
      </c>
      <c r="M91" s="7">
        <f t="shared" si="30"/>
        <v>13570.246348616665</v>
      </c>
      <c r="N91">
        <f t="shared" si="24"/>
        <v>0.21178350000000001</v>
      </c>
      <c r="AO91">
        <v>0.16494800000000001</v>
      </c>
    </row>
    <row r="92" spans="4:41" x14ac:dyDescent="0.45">
      <c r="D92" s="3" t="s">
        <v>1353</v>
      </c>
      <c r="E92" s="3" t="s">
        <v>1354</v>
      </c>
      <c r="F92" t="s">
        <v>1355</v>
      </c>
      <c r="G92" s="3">
        <f t="shared" si="23"/>
        <v>-11.164683999992283</v>
      </c>
      <c r="H92" s="3">
        <f t="shared" si="25"/>
        <v>1505.3161458833333</v>
      </c>
      <c r="I92" s="3">
        <f t="shared" si="26"/>
        <v>-3.861175618057474E-2</v>
      </c>
      <c r="J92" s="7">
        <f t="shared" si="29"/>
        <v>-3.985873676043742E-2</v>
      </c>
      <c r="M92" s="7">
        <f t="shared" si="30"/>
        <v>15075.562494499998</v>
      </c>
      <c r="N92">
        <f t="shared" si="24"/>
        <v>0.18035950000000001</v>
      </c>
      <c r="AO92">
        <v>0.35233449999999999</v>
      </c>
    </row>
    <row r="93" spans="4:41" x14ac:dyDescent="0.45">
      <c r="D93" s="3" t="s">
        <v>1364</v>
      </c>
      <c r="E93" s="3" t="s">
        <v>1365</v>
      </c>
      <c r="F93" s="3" t="s">
        <v>1366</v>
      </c>
      <c r="G93" s="3">
        <f t="shared" si="23"/>
        <v>-13.16494900000059</v>
      </c>
      <c r="H93" s="3">
        <f t="shared" si="25"/>
        <v>1314.7000112666667</v>
      </c>
      <c r="I93" s="3">
        <f t="shared" si="26"/>
        <v>-9.1287669408983557E-2</v>
      </c>
      <c r="J93" s="7">
        <f t="shared" si="29"/>
        <v>-9.1275575394864625E-2</v>
      </c>
      <c r="M93" s="7">
        <f t="shared" si="30"/>
        <v>16390.262505766666</v>
      </c>
      <c r="N93">
        <f t="shared" si="24"/>
        <v>0.16494800000000001</v>
      </c>
      <c r="AO93">
        <v>0.29000749999999997</v>
      </c>
    </row>
    <row r="94" spans="4:41" x14ac:dyDescent="0.45">
      <c r="D94" s="3" t="s">
        <v>1383</v>
      </c>
      <c r="E94" s="3" t="s">
        <v>1384</v>
      </c>
      <c r="F94" s="3" t="s">
        <v>1385</v>
      </c>
      <c r="G94" s="3">
        <f t="shared" si="23"/>
        <v>-13.352338999995794</v>
      </c>
      <c r="H94" s="3">
        <f t="shared" si="25"/>
        <v>285.93645478333332</v>
      </c>
      <c r="I94" s="3">
        <f t="shared" si="26"/>
        <v>-3.9321324062130819E-2</v>
      </c>
      <c r="J94" s="7">
        <f t="shared" si="29"/>
        <v>0</v>
      </c>
      <c r="M94" s="7">
        <f t="shared" si="30"/>
        <v>16676.198960549998</v>
      </c>
      <c r="N94">
        <f t="shared" si="24"/>
        <v>0.35233449999999999</v>
      </c>
      <c r="AO94">
        <v>0.93054599999999998</v>
      </c>
    </row>
    <row r="95" spans="4:41" x14ac:dyDescent="0.45">
      <c r="D95" s="3" t="s">
        <v>1409</v>
      </c>
      <c r="E95" s="3" t="s">
        <v>1407</v>
      </c>
      <c r="F95" s="3" t="s">
        <v>1408</v>
      </c>
      <c r="G95" s="3">
        <f t="shared" si="23"/>
        <v>-14.290008000002345</v>
      </c>
      <c r="H95" s="3">
        <f t="shared" si="25"/>
        <v>1380.2322855499999</v>
      </c>
      <c r="I95" s="3">
        <f t="shared" si="26"/>
        <v>-4.0761356323420816E-2</v>
      </c>
      <c r="J95" s="7">
        <f t="shared" si="29"/>
        <v>-4.3470943715891261E-2</v>
      </c>
      <c r="M95" s="7">
        <f t="shared" si="30"/>
        <v>18056.431246099997</v>
      </c>
      <c r="N95">
        <f t="shared" si="24"/>
        <v>0.29000749999999997</v>
      </c>
      <c r="AO95">
        <v>0.25875199999999998</v>
      </c>
    </row>
    <row r="96" spans="4:41" x14ac:dyDescent="0.45">
      <c r="D96" s="3" t="s">
        <v>1440</v>
      </c>
      <c r="E96" s="3" t="s">
        <v>1441</v>
      </c>
      <c r="F96" s="3" t="s">
        <v>1442</v>
      </c>
      <c r="G96" s="3">
        <f t="shared" si="23"/>
        <v>-14.914781000002344</v>
      </c>
      <c r="H96" s="3">
        <f t="shared" si="25"/>
        <v>1388.3937546666666</v>
      </c>
      <c r="I96" s="3">
        <f t="shared" si="26"/>
        <v>-2.6999818944734383E-2</v>
      </c>
      <c r="J96" s="7">
        <f t="shared" si="29"/>
        <v>0</v>
      </c>
      <c r="M96" s="7">
        <f t="shared" si="30"/>
        <v>19444.825000766665</v>
      </c>
      <c r="N96">
        <f t="shared" si="24"/>
        <v>0.93054599999999998</v>
      </c>
      <c r="AO96">
        <v>5.5567500000000006E-2</v>
      </c>
    </row>
    <row r="97" spans="4:41" x14ac:dyDescent="0.45">
      <c r="D97" s="3" t="s">
        <v>1458</v>
      </c>
      <c r="E97" s="3" t="s">
        <v>1459</v>
      </c>
      <c r="F97" s="3" t="s">
        <v>1460</v>
      </c>
      <c r="G97" s="3">
        <f t="shared" si="23"/>
        <v>-15.258755999999304</v>
      </c>
      <c r="H97" s="3">
        <f t="shared" si="25"/>
        <v>561.97239676666663</v>
      </c>
      <c r="I97" s="3">
        <f t="shared" si="26"/>
        <v>-3.6725113401587142E-2</v>
      </c>
      <c r="J97" s="7">
        <f t="shared" si="29"/>
        <v>-0.10676680980278158</v>
      </c>
      <c r="M97" s="7">
        <f t="shared" si="30"/>
        <v>20006.79739753333</v>
      </c>
      <c r="N97">
        <f t="shared" si="24"/>
        <v>0.25875199999999998</v>
      </c>
      <c r="AO97">
        <v>0.49279300000000004</v>
      </c>
    </row>
    <row r="98" spans="4:41" x14ac:dyDescent="0.45">
      <c r="D98" s="3" t="s">
        <v>1488</v>
      </c>
      <c r="E98" s="3" t="s">
        <v>1489</v>
      </c>
      <c r="F98" s="3" t="s">
        <v>1490</v>
      </c>
      <c r="G98" s="3">
        <f t="shared" si="23"/>
        <v>-16.039808999999856</v>
      </c>
      <c r="H98" s="3">
        <f t="shared" si="25"/>
        <v>1572.1463542499998</v>
      </c>
      <c r="I98" s="3">
        <f t="shared" si="26"/>
        <v>-2.980840802343078E-2</v>
      </c>
      <c r="J98" s="7">
        <f t="shared" si="29"/>
        <v>-3.8164385801488121E-2</v>
      </c>
      <c r="M98" s="7">
        <f t="shared" si="30"/>
        <v>21578.943751783328</v>
      </c>
      <c r="N98">
        <f t="shared" si="24"/>
        <v>5.5567500000000006E-2</v>
      </c>
      <c r="AO98">
        <v>0.71188200000000001</v>
      </c>
    </row>
    <row r="99" spans="4:41" x14ac:dyDescent="0.45">
      <c r="D99" s="3" t="s">
        <v>1503</v>
      </c>
      <c r="E99" s="3" t="s">
        <v>1504</v>
      </c>
      <c r="F99" s="3" t="s">
        <v>1505</v>
      </c>
      <c r="G99" s="3">
        <f t="shared" si="23"/>
        <v>-16.477618999996263</v>
      </c>
      <c r="H99" s="3">
        <f t="shared" si="25"/>
        <v>780.77397245000009</v>
      </c>
      <c r="I99" s="3">
        <f t="shared" si="26"/>
        <v>-3.3644307990129164E-2</v>
      </c>
      <c r="J99" s="7">
        <f t="shared" si="29"/>
        <v>0</v>
      </c>
      <c r="M99" s="7">
        <f t="shared" si="30"/>
        <v>22359.717724233327</v>
      </c>
      <c r="N99">
        <f t="shared" si="24"/>
        <v>0.49279300000000004</v>
      </c>
      <c r="AO99">
        <v>8.7197999999999998E-2</v>
      </c>
    </row>
    <row r="100" spans="4:41" hidden="1" x14ac:dyDescent="0.45">
      <c r="D100" s="3" t="s">
        <v>1535</v>
      </c>
      <c r="E100" s="3" t="s">
        <v>1536</v>
      </c>
      <c r="F100" s="3" t="s">
        <v>1537</v>
      </c>
      <c r="G100" s="3">
        <f t="shared" si="23"/>
        <v>-16.696590999996264</v>
      </c>
      <c r="H100" s="3">
        <f t="shared" si="25"/>
        <v>449.1203137833333</v>
      </c>
      <c r="I100" s="3">
        <f t="shared" si="26"/>
        <v>-2.9253453020916573E-2</v>
      </c>
      <c r="J100" s="7">
        <f t="shared" si="29"/>
        <v>0</v>
      </c>
      <c r="M100" s="7">
        <f t="shared" si="30"/>
        <v>22808.83803801666</v>
      </c>
      <c r="N100">
        <f t="shared" si="24"/>
        <v>0.71188200000000001</v>
      </c>
      <c r="AO100">
        <v>0</v>
      </c>
    </row>
    <row r="101" spans="4:41" hidden="1" x14ac:dyDescent="0.45">
      <c r="D101" s="3" t="s">
        <v>1570</v>
      </c>
      <c r="E101" s="3" t="s">
        <v>1571</v>
      </c>
      <c r="F101" s="3" t="s">
        <v>1572</v>
      </c>
      <c r="G101" s="3">
        <f t="shared" si="23"/>
        <v>-17.071674000002815</v>
      </c>
      <c r="H101" s="3">
        <f t="shared" si="25"/>
        <v>1072.6562471166667</v>
      </c>
      <c r="I101" s="3">
        <f t="shared" si="26"/>
        <v>-2.0980607777083445E-2</v>
      </c>
      <c r="J101" s="7">
        <f t="shared" si="29"/>
        <v>-5.5935906923846167E-2</v>
      </c>
      <c r="M101" s="7">
        <f t="shared" si="30"/>
        <v>23881.494285133325</v>
      </c>
      <c r="N101">
        <f t="shared" si="24"/>
        <v>8.7197999999999998E-2</v>
      </c>
      <c r="AO101">
        <v>0</v>
      </c>
    </row>
    <row r="102" spans="4:41" hidden="1" x14ac:dyDescent="0.45">
      <c r="D102" s="3"/>
      <c r="E102" s="3"/>
      <c r="F102" s="3"/>
      <c r="AO102">
        <v>0</v>
      </c>
    </row>
    <row r="103" spans="4:41" x14ac:dyDescent="0.45">
      <c r="D103" s="12" t="str">
        <f>("№"&amp;B6&amp;" - "&amp;A6)</f>
        <v>№5 - ERR15</v>
      </c>
      <c r="E103" s="12"/>
      <c r="F103" s="12"/>
      <c r="G103" s="13"/>
      <c r="H103" s="13"/>
      <c r="I103" s="13"/>
      <c r="J103" s="14"/>
      <c r="K103" s="13"/>
      <c r="L103" s="13"/>
      <c r="M103" s="14"/>
      <c r="N103" s="13"/>
      <c r="AO103">
        <v>0.32148100000000002</v>
      </c>
    </row>
    <row r="104" spans="4:41" x14ac:dyDescent="0.45">
      <c r="D104" s="12" t="s">
        <v>8</v>
      </c>
      <c r="E104" s="12" t="s">
        <v>9</v>
      </c>
      <c r="F104" s="12" t="s">
        <v>10</v>
      </c>
      <c r="G104" s="12" t="s">
        <v>346</v>
      </c>
      <c r="H104" s="12" t="s">
        <v>222</v>
      </c>
      <c r="I104" s="12" t="s">
        <v>223</v>
      </c>
      <c r="J104" s="12" t="s">
        <v>224</v>
      </c>
      <c r="K104" s="12" t="s">
        <v>225</v>
      </c>
      <c r="L104" s="12" t="s">
        <v>345</v>
      </c>
      <c r="M104" s="12" t="s">
        <v>344</v>
      </c>
      <c r="N104" s="12"/>
      <c r="AO104">
        <v>0.39955099999999999</v>
      </c>
    </row>
    <row r="105" spans="4:41" x14ac:dyDescent="0.45">
      <c r="D105" s="2" t="s">
        <v>832</v>
      </c>
      <c r="E105" s="2" t="s">
        <v>833</v>
      </c>
      <c r="F105" s="1" t="s">
        <v>834</v>
      </c>
      <c r="G105" s="3">
        <f t="shared" ref="G105:G113" si="31">(DATEVALUE(LEFT(E105, 10))-DATEVALUE(LEFT(D105, 10))) * 86400 + (TIMEVALUE(MID(E105, 12, 8)) - TIMEVALUE(MID(D105, 12, 8))) * 86400 + (VALUE(RIGHT(E105, 6)) - VALUE(RIGHT(D105, 6))) / 1000000</f>
        <v>-0.32148500000055602</v>
      </c>
      <c r="H105" s="3"/>
      <c r="I105" s="3"/>
      <c r="J105" s="6"/>
      <c r="K105" s="3" cm="1">
        <f t="array" ref="K105">((LOOKUP(2,1/(G105:G126&lt;&gt;""),G105:G126) - G105)/SUM(H106:H137)) * 60</f>
        <v>-2.3552926477087479E-3</v>
      </c>
      <c r="L105" s="3">
        <f>((FLOOR(MAX(G105:G137), 1)-FLOOR(MIN(G105:G137), 1))/SUM(H106:H137)) * 60</f>
        <v>7.5425038461498645E-3</v>
      </c>
      <c r="M105" s="6">
        <v>0</v>
      </c>
      <c r="N105">
        <f t="shared" ref="N105:N135" si="32">(MID(F105, 2, 7) + MID(F105, 12, 8)) / 2</f>
        <v>0.32148100000000002</v>
      </c>
      <c r="AO105">
        <v>0.42985050000000002</v>
      </c>
    </row>
    <row r="106" spans="4:41" x14ac:dyDescent="0.45">
      <c r="D106" s="2" t="s">
        <v>860</v>
      </c>
      <c r="E106" s="2" t="s">
        <v>861</v>
      </c>
      <c r="F106" s="1" t="s">
        <v>862</v>
      </c>
      <c r="G106" s="3">
        <f t="shared" si="31"/>
        <v>-0.3847140000065512</v>
      </c>
      <c r="H106" s="3">
        <f t="shared" ref="H106:H113" si="33">((DATEVALUE(LEFT(D106,10))-DATEVALUE(LEFT(D105,10)))*86400+(TIMEVALUE(MID(D106,12,8))-TIMEVALUE(MID(D105,12,8)))*86400+(VALUE(RIGHT(D106,6))-VALUE(RIGHT(D105,6)))/1000000)/ 60</f>
        <v>801.03440495000007</v>
      </c>
      <c r="I106" s="3">
        <f t="shared" ref="I106:I113" si="34">3600 * (G106-G105) / ((DATEVALUE(LEFT(D106, 10))-DATEVALUE(LEFT(D105, 10))) * 86400 + (TIMEVALUE(MID(D106, 12, 8)) - TIMEVALUE(MID(D105, 12, 8))) * 86400 + (VALUE(RIGHT(D106, 6)) - VALUE(RIGHT(D105, 6))) / 1000000)</f>
        <v>-4.7360512568701881E-3</v>
      </c>
      <c r="J106" s="7">
        <f t="shared" ref="J106:J112" si="35">(FLOOR(G106, 1) - FLOOR(G105, 1)) / H106 * 60</f>
        <v>0</v>
      </c>
      <c r="L106" s="3"/>
      <c r="M106" s="7">
        <f t="shared" ref="M106:M112" si="36">M105 + H106</f>
        <v>801.03440495000007</v>
      </c>
      <c r="N106">
        <f t="shared" si="32"/>
        <v>0.39955099999999999</v>
      </c>
      <c r="AO106">
        <v>0.3053555</v>
      </c>
    </row>
    <row r="107" spans="4:41" x14ac:dyDescent="0.45">
      <c r="D107" s="2" t="s">
        <v>878</v>
      </c>
      <c r="E107" s="2" t="s">
        <v>879</v>
      </c>
      <c r="F107" s="1" t="s">
        <v>880</v>
      </c>
      <c r="G107" s="3">
        <f t="shared" si="31"/>
        <v>-0.41535899999695891</v>
      </c>
      <c r="H107" s="3">
        <f t="shared" si="33"/>
        <v>508.23383931666655</v>
      </c>
      <c r="I107" s="3">
        <f t="shared" si="34"/>
        <v>-3.6178228547249858E-3</v>
      </c>
      <c r="J107" s="7">
        <f t="shared" si="35"/>
        <v>0</v>
      </c>
      <c r="K107" t="s">
        <v>340</v>
      </c>
      <c r="M107" s="7">
        <f t="shared" si="36"/>
        <v>1309.2682442666667</v>
      </c>
      <c r="N107">
        <f t="shared" si="32"/>
        <v>0.42985050000000002</v>
      </c>
      <c r="AO107">
        <v>0.44603400000000004</v>
      </c>
    </row>
    <row r="108" spans="4:41" x14ac:dyDescent="0.45">
      <c r="D108" s="2" t="s">
        <v>917</v>
      </c>
      <c r="E108" s="2" t="s">
        <v>918</v>
      </c>
      <c r="F108" s="1" t="s">
        <v>919</v>
      </c>
      <c r="G108" s="3">
        <f t="shared" si="31"/>
        <v>0.710503</v>
      </c>
      <c r="H108" s="3">
        <f t="shared" si="33"/>
        <v>1405.0645536999998</v>
      </c>
      <c r="I108" s="3">
        <f t="shared" si="34"/>
        <v>4.807730706886848E-2</v>
      </c>
      <c r="J108" s="7">
        <f t="shared" si="35"/>
        <v>4.2702664330973368E-2</v>
      </c>
      <c r="K108" s="3">
        <f>(MAX(G105:G126) / (DATEDIF(VALUE(DATE(2000 + MID(B15, 1, 2), MID(B15, 4, 2), MID(B15, 7, 2))), VALUE(DATEVALUE(MID(D105, 1, 10)) + TIMEVALUE(MID(D105, 12, 8)) + MID(D105, 21, 6) / 86400000), "d") * 1440 + (TIMEVALUE(MID(D105, 12, 8)) - TIMEVALUE(RIGHT(B15, 8))) * 1440 + MID(D105, 21, 6) / 86400000 + MAX(M105:M126))) * 60</f>
        <v>2.8349210607330425E-3</v>
      </c>
      <c r="L108" s="3"/>
      <c r="M108" s="7">
        <f t="shared" si="36"/>
        <v>2714.3327979666665</v>
      </c>
      <c r="N108">
        <f t="shared" si="32"/>
        <v>0.3053555</v>
      </c>
      <c r="AO108">
        <v>0.43054900000000002</v>
      </c>
    </row>
    <row r="109" spans="4:41" x14ac:dyDescent="0.45">
      <c r="D109" s="2" t="s">
        <v>931</v>
      </c>
      <c r="E109" s="2" t="s">
        <v>932</v>
      </c>
      <c r="F109" s="1" t="s">
        <v>933</v>
      </c>
      <c r="G109" s="3">
        <f t="shared" si="31"/>
        <v>-0.44603799999695892</v>
      </c>
      <c r="H109" s="3">
        <f t="shared" si="33"/>
        <v>1213.8026040500001</v>
      </c>
      <c r="I109" s="3">
        <f t="shared" si="34"/>
        <v>-5.716947695472159E-2</v>
      </c>
      <c r="J109" s="7">
        <f t="shared" si="35"/>
        <v>-4.9431431272105281E-2</v>
      </c>
      <c r="M109" s="7">
        <f t="shared" si="36"/>
        <v>3928.1354020166664</v>
      </c>
      <c r="N109">
        <f t="shared" si="32"/>
        <v>0.44603400000000004</v>
      </c>
      <c r="AO109">
        <v>0.321135</v>
      </c>
    </row>
    <row r="110" spans="4:41" x14ac:dyDescent="0.45">
      <c r="D110" s="2" t="s">
        <v>947</v>
      </c>
      <c r="E110" s="2" t="s">
        <v>948</v>
      </c>
      <c r="F110" s="1" t="s">
        <v>949</v>
      </c>
      <c r="G110" s="3">
        <f t="shared" si="31"/>
        <v>-0.41438400000055597</v>
      </c>
      <c r="H110" s="3">
        <f t="shared" si="33"/>
        <v>325.16613993333334</v>
      </c>
      <c r="I110" s="3">
        <f t="shared" si="34"/>
        <v>5.8408295530818968E-3</v>
      </c>
      <c r="J110" s="7">
        <f t="shared" si="35"/>
        <v>0</v>
      </c>
      <c r="K110" s="8" t="s">
        <v>995</v>
      </c>
      <c r="M110" s="7">
        <f t="shared" si="36"/>
        <v>4253.3015419499998</v>
      </c>
      <c r="N110">
        <f t="shared" si="32"/>
        <v>0.43054900000000002</v>
      </c>
      <c r="AO110">
        <v>0.30515400000000004</v>
      </c>
    </row>
    <row r="111" spans="4:41" x14ac:dyDescent="0.45">
      <c r="D111" s="2" t="s">
        <v>977</v>
      </c>
      <c r="E111" s="2" t="s">
        <v>978</v>
      </c>
      <c r="F111" s="1" t="s">
        <v>994</v>
      </c>
      <c r="G111" s="3">
        <f t="shared" si="31"/>
        <v>0.67886500000000005</v>
      </c>
      <c r="H111" s="3">
        <f t="shared" si="33"/>
        <v>533.66512293333335</v>
      </c>
      <c r="I111" s="3">
        <f t="shared" si="34"/>
        <v>0.12291404699539947</v>
      </c>
      <c r="J111" s="7">
        <f t="shared" si="35"/>
        <v>0.11243005664339684</v>
      </c>
      <c r="K111">
        <f>_xlfn.STDEV.P(I106:I126)</f>
        <v>4.8578499970904118E-2</v>
      </c>
      <c r="M111" s="7">
        <f t="shared" si="36"/>
        <v>4786.9666648833336</v>
      </c>
      <c r="N111">
        <f t="shared" si="32"/>
        <v>0.321135</v>
      </c>
      <c r="AO111">
        <v>0.22710449999999999</v>
      </c>
    </row>
    <row r="112" spans="4:41" x14ac:dyDescent="0.45">
      <c r="D112" s="3" t="s">
        <v>1013</v>
      </c>
      <c r="E112" s="3" t="s">
        <v>1014</v>
      </c>
      <c r="F112" s="1" t="s">
        <v>1015</v>
      </c>
      <c r="G112" s="3">
        <f t="shared" si="31"/>
        <v>0.71011000000000002</v>
      </c>
      <c r="H112" s="3">
        <f t="shared" si="33"/>
        <v>231.96613561666675</v>
      </c>
      <c r="I112" s="3">
        <f t="shared" si="34"/>
        <v>8.0817831232831948E-3</v>
      </c>
      <c r="J112" s="7">
        <f t="shared" si="35"/>
        <v>0</v>
      </c>
      <c r="M112" s="7">
        <f t="shared" si="36"/>
        <v>5018.9328005000007</v>
      </c>
      <c r="N112">
        <f t="shared" si="32"/>
        <v>0.30515400000000004</v>
      </c>
      <c r="AO112">
        <v>0.27395400000000003</v>
      </c>
    </row>
    <row r="113" spans="4:41" x14ac:dyDescent="0.45">
      <c r="D113" s="3" t="s">
        <v>1032</v>
      </c>
      <c r="E113" s="3" t="s">
        <v>1033</v>
      </c>
      <c r="F113" s="1" t="s">
        <v>1034</v>
      </c>
      <c r="G113" s="3">
        <f t="shared" si="31"/>
        <v>-1.227105999999913</v>
      </c>
      <c r="H113" s="3">
        <f t="shared" si="33"/>
        <v>688.68228726666666</v>
      </c>
      <c r="I113" s="3">
        <f t="shared" si="34"/>
        <v>-0.16877588134481508</v>
      </c>
      <c r="J113" s="7">
        <f>(FLOOR(G113, 1) - FLOOR(G112, 1)) / H113 * 60</f>
        <v>-0.17424580567662323</v>
      </c>
      <c r="M113" s="7">
        <f>M112 + H113</f>
        <v>5707.6150877666678</v>
      </c>
      <c r="N113">
        <f t="shared" si="32"/>
        <v>0.22710449999999999</v>
      </c>
      <c r="AO113">
        <v>0.1802715</v>
      </c>
    </row>
    <row r="114" spans="4:41" x14ac:dyDescent="0.45">
      <c r="D114" s="3" t="s">
        <v>1053</v>
      </c>
      <c r="E114" s="3" t="s">
        <v>1054</v>
      </c>
      <c r="F114" s="1" t="s">
        <v>1055</v>
      </c>
      <c r="G114" s="3">
        <f t="shared" ref="G114:G120" si="37">(DATEVALUE(LEFT(E114, 10))-DATEVALUE(LEFT(D114, 10))) * 86400 + (TIMEVALUE(MID(E114, 12, 8)) - TIMEVALUE(MID(D114, 12, 8))) * 86400 + (VALUE(RIGHT(E114, 6)) - VALUE(RIGHT(D114, 6))) / 1000000</f>
        <v>-1.258165999998714</v>
      </c>
      <c r="H114" s="3">
        <f t="shared" ref="H114:H120" si="38">((DATEVALUE(LEFT(D114,10))-DATEVALUE(LEFT(D113,10)))*86400+(TIMEVALUE(MID(D114,12,8))-TIMEVALUE(MID(D113,12,8)))*86400+(VALUE(RIGHT(D114,6))-VALUE(RIGHT(D113,6)))/1000000)/ 60</f>
        <v>531.56718641666669</v>
      </c>
      <c r="I114" s="3">
        <f t="shared" ref="I114:I120" si="39">3600 * (G114-G113) / ((DATEVALUE(LEFT(D114, 10))-DATEVALUE(LEFT(D113, 10))) * 86400 + (TIMEVALUE(MID(D114, 12, 8)) - TIMEVALUE(MID(D113, 12, 8))) * 86400 + (VALUE(RIGHT(D114, 6)) - VALUE(RIGHT(D113, 6))) / 1000000)</f>
        <v>-3.5058597436962331E-3</v>
      </c>
      <c r="J114" s="7">
        <f t="shared" ref="J114:J120" si="40">(FLOOR(G114, 1) - FLOOR(G113, 1)) / H114 * 60</f>
        <v>0</v>
      </c>
      <c r="M114" s="7">
        <f t="shared" ref="M114:M120" si="41">M113 + H114</f>
        <v>6239.1822741833348</v>
      </c>
      <c r="N114">
        <f t="shared" si="32"/>
        <v>0.27395400000000003</v>
      </c>
      <c r="AO114">
        <v>0.16459950000000001</v>
      </c>
    </row>
    <row r="115" spans="4:41" x14ac:dyDescent="0.45">
      <c r="D115" s="3" t="s">
        <v>1089</v>
      </c>
      <c r="E115" s="3" t="s">
        <v>1090</v>
      </c>
      <c r="F115" s="1" t="s">
        <v>1091</v>
      </c>
      <c r="G115" s="3">
        <f t="shared" si="37"/>
        <v>-1.16440200000351</v>
      </c>
      <c r="H115" s="3">
        <f t="shared" si="38"/>
        <v>348.59843325000008</v>
      </c>
      <c r="I115" s="3">
        <f t="shared" si="39"/>
        <v>1.6138454631772905E-2</v>
      </c>
      <c r="J115" s="7">
        <f t="shared" si="40"/>
        <v>0</v>
      </c>
      <c r="M115" s="7">
        <f t="shared" si="41"/>
        <v>6587.780707433335</v>
      </c>
      <c r="N115">
        <f t="shared" si="32"/>
        <v>0.1802715</v>
      </c>
      <c r="AO115">
        <v>0.22718549999999998</v>
      </c>
    </row>
    <row r="116" spans="4:41" x14ac:dyDescent="0.45">
      <c r="D116" s="3" t="s">
        <v>1095</v>
      </c>
      <c r="E116" s="3" t="s">
        <v>1096</v>
      </c>
      <c r="F116" s="1" t="s">
        <v>1097</v>
      </c>
      <c r="G116" s="3">
        <f t="shared" si="37"/>
        <v>-1.164600999999913</v>
      </c>
      <c r="H116" s="3">
        <f t="shared" si="38"/>
        <v>566.66667166666662</v>
      </c>
      <c r="I116" s="3">
        <f t="shared" si="39"/>
        <v>-2.107058766851174E-5</v>
      </c>
      <c r="J116" s="7">
        <f t="shared" si="40"/>
        <v>0</v>
      </c>
      <c r="M116" s="7">
        <f t="shared" si="41"/>
        <v>7154.4473791000019</v>
      </c>
      <c r="N116">
        <f t="shared" si="32"/>
        <v>0.16459950000000001</v>
      </c>
      <c r="AO116">
        <v>0.22696050000000001</v>
      </c>
    </row>
    <row r="117" spans="4:41" x14ac:dyDescent="0.45">
      <c r="D117" s="3" t="s">
        <v>1137</v>
      </c>
      <c r="E117" s="3" t="s">
        <v>1138</v>
      </c>
      <c r="F117" s="1" t="s">
        <v>1139</v>
      </c>
      <c r="G117" s="3">
        <f t="shared" si="37"/>
        <v>-1.2271870000035101</v>
      </c>
      <c r="H117" s="3">
        <f t="shared" si="38"/>
        <v>672.11771483333337</v>
      </c>
      <c r="I117" s="3">
        <f t="shared" si="39"/>
        <v>-5.5870570248948209E-3</v>
      </c>
      <c r="J117" s="7">
        <f t="shared" si="40"/>
        <v>0</v>
      </c>
      <c r="M117" s="7">
        <f t="shared" si="41"/>
        <v>7826.5650939333354</v>
      </c>
      <c r="N117">
        <f t="shared" si="32"/>
        <v>0.22718549999999998</v>
      </c>
      <c r="AO117">
        <v>0.28951300000000002</v>
      </c>
    </row>
    <row r="118" spans="4:41" x14ac:dyDescent="0.45">
      <c r="D118" s="3" t="s">
        <v>1149</v>
      </c>
      <c r="E118" s="3" t="s">
        <v>1150</v>
      </c>
      <c r="F118" s="1" t="s">
        <v>1151</v>
      </c>
      <c r="G118" s="3">
        <f t="shared" si="37"/>
        <v>-1.2269639999999131</v>
      </c>
      <c r="H118" s="3">
        <f t="shared" si="38"/>
        <v>795.78332856666668</v>
      </c>
      <c r="I118" s="3">
        <f t="shared" si="39"/>
        <v>1.6813622170143489E-5</v>
      </c>
      <c r="J118" s="7">
        <f t="shared" si="40"/>
        <v>0</v>
      </c>
      <c r="M118" s="7">
        <f t="shared" si="41"/>
        <v>8622.3484225000029</v>
      </c>
      <c r="N118">
        <f t="shared" si="32"/>
        <v>0.22696050000000001</v>
      </c>
      <c r="AO118">
        <v>0.2897595</v>
      </c>
    </row>
    <row r="119" spans="4:41" x14ac:dyDescent="0.45">
      <c r="D119" s="3" t="s">
        <v>1176</v>
      </c>
      <c r="E119" s="3" t="s">
        <v>1177</v>
      </c>
      <c r="F119" s="1" t="s">
        <v>1178</v>
      </c>
      <c r="G119" s="3">
        <f t="shared" si="37"/>
        <v>-1.28951500000351</v>
      </c>
      <c r="H119" s="3">
        <f t="shared" si="38"/>
        <v>605.93437244999996</v>
      </c>
      <c r="I119" s="3">
        <f t="shared" si="39"/>
        <v>-6.193839086964005E-3</v>
      </c>
      <c r="J119" s="7">
        <f t="shared" si="40"/>
        <v>0</v>
      </c>
      <c r="M119" s="7">
        <f t="shared" si="41"/>
        <v>9228.2827949500024</v>
      </c>
      <c r="N119">
        <f t="shared" si="32"/>
        <v>0.28951300000000002</v>
      </c>
      <c r="AO119">
        <v>0.19633349999999999</v>
      </c>
    </row>
    <row r="120" spans="4:41" x14ac:dyDescent="0.45">
      <c r="D120" s="3" t="s">
        <v>1194</v>
      </c>
      <c r="E120" s="3" t="s">
        <v>1195</v>
      </c>
      <c r="F120" s="1" t="s">
        <v>1196</v>
      </c>
      <c r="G120" s="3">
        <f t="shared" si="37"/>
        <v>-1.2897620000035102</v>
      </c>
      <c r="H120" s="3">
        <f t="shared" si="38"/>
        <v>168.80000833333332</v>
      </c>
      <c r="I120" s="3">
        <f t="shared" si="39"/>
        <v>-8.7796204196513388E-5</v>
      </c>
      <c r="J120" s="7">
        <f t="shared" si="40"/>
        <v>0</v>
      </c>
      <c r="M120" s="7">
        <f t="shared" si="41"/>
        <v>9397.082803283336</v>
      </c>
      <c r="N120">
        <f t="shared" si="32"/>
        <v>0.2897595</v>
      </c>
      <c r="AO120">
        <v>0.27407300000000001</v>
      </c>
    </row>
    <row r="121" spans="4:41" x14ac:dyDescent="0.45">
      <c r="D121" s="3" t="s">
        <v>1218</v>
      </c>
      <c r="E121" s="3" t="s">
        <v>1219</v>
      </c>
      <c r="F121" s="1" t="s">
        <v>1220</v>
      </c>
      <c r="G121" s="3">
        <f t="shared" ref="G121:G135" si="42">(DATEVALUE(LEFT(E121, 10))-DATEVALUE(LEFT(D121, 10))) * 86400 + (TIMEVALUE(MID(E121, 12, 8)) - TIMEVALUE(MID(D121, 12, 8))) * 86400 + (VALUE(RIGHT(E121, 6)) - VALUE(RIGHT(D121, 6))) / 1000000</f>
        <v>-1.1963360000035101</v>
      </c>
      <c r="H121" s="3">
        <f t="shared" ref="H121:H135" si="43">((DATEVALUE(LEFT(D121,10))-DATEVALUE(LEFT(D120,10)))*86400+(TIMEVALUE(MID(D121,12,8))-TIMEVALUE(MID(D120,12,8)))*86400+(VALUE(RIGHT(D121,6))-VALUE(RIGHT(D120,6)))/1000000)/ 60</f>
        <v>1883.9984310166667</v>
      </c>
      <c r="I121" s="3">
        <f t="shared" ref="I121:I135" si="44">3600 * (G121-G120) / ((DATEVALUE(LEFT(D121, 10))-DATEVALUE(LEFT(D120, 10))) * 86400 + (TIMEVALUE(MID(D121, 12, 8)) - TIMEVALUE(MID(D120, 12, 8))) * 86400 + (VALUE(RIGHT(D121, 6)) - VALUE(RIGHT(D120, 6))) / 1000000)</f>
        <v>2.975352796326406E-3</v>
      </c>
      <c r="J121" s="7">
        <f t="shared" ref="J121:J135" si="45">(FLOOR(G121, 1) - FLOOR(G120, 1)) / H121 * 60</f>
        <v>0</v>
      </c>
      <c r="M121" s="7">
        <f t="shared" ref="M121:M135" si="46">M120 + H121</f>
        <v>11281.081234300003</v>
      </c>
      <c r="N121">
        <f t="shared" si="32"/>
        <v>0.19633349999999999</v>
      </c>
      <c r="AO121">
        <v>0.27418949999999997</v>
      </c>
    </row>
    <row r="122" spans="4:41" x14ac:dyDescent="0.45">
      <c r="D122" s="3" t="s">
        <v>1254</v>
      </c>
      <c r="E122" s="3" t="s">
        <v>1255</v>
      </c>
      <c r="F122" s="1" t="s">
        <v>1256</v>
      </c>
      <c r="G122" s="3">
        <f t="shared" si="42"/>
        <v>-1.25862200000351</v>
      </c>
      <c r="H122" s="3">
        <f t="shared" si="43"/>
        <v>956.10104848333333</v>
      </c>
      <c r="I122" s="3">
        <f t="shared" si="44"/>
        <v>-3.9087500279685519E-3</v>
      </c>
      <c r="J122" s="7">
        <f t="shared" si="45"/>
        <v>0</v>
      </c>
      <c r="M122" s="7">
        <f t="shared" si="46"/>
        <v>12237.182282783337</v>
      </c>
      <c r="N122">
        <f t="shared" si="32"/>
        <v>0.27407300000000001</v>
      </c>
      <c r="AO122">
        <v>0.25862000000000002</v>
      </c>
    </row>
    <row r="123" spans="4:41" x14ac:dyDescent="0.45">
      <c r="D123" s="3" t="s">
        <v>1275</v>
      </c>
      <c r="E123" s="3" t="s">
        <v>1276</v>
      </c>
      <c r="F123" s="1" t="s">
        <v>1277</v>
      </c>
      <c r="G123" s="3">
        <f t="shared" si="42"/>
        <v>-1.2589190000035102</v>
      </c>
      <c r="H123" s="3">
        <f t="shared" si="43"/>
        <v>223.91667633333327</v>
      </c>
      <c r="I123" s="3">
        <f t="shared" si="44"/>
        <v>-7.9583174830110038E-5</v>
      </c>
      <c r="J123" s="7">
        <f t="shared" si="45"/>
        <v>0</v>
      </c>
      <c r="M123" s="7">
        <f t="shared" si="46"/>
        <v>12461.098959116669</v>
      </c>
      <c r="N123">
        <f t="shared" si="32"/>
        <v>0.27418949999999997</v>
      </c>
      <c r="AO123">
        <v>0.274173</v>
      </c>
    </row>
    <row r="124" spans="4:41" x14ac:dyDescent="0.45">
      <c r="D124" s="3" t="s">
        <v>1287</v>
      </c>
      <c r="E124" s="3" t="s">
        <v>1288</v>
      </c>
      <c r="F124" t="s">
        <v>1289</v>
      </c>
      <c r="G124" s="3">
        <f t="shared" si="42"/>
        <v>-1.2586199999999881</v>
      </c>
      <c r="H124" s="3">
        <f t="shared" si="43"/>
        <v>395.19999093333348</v>
      </c>
      <c r="I124" s="3">
        <f t="shared" si="44"/>
        <v>4.5394738418284918E-5</v>
      </c>
      <c r="J124" s="7">
        <f t="shared" si="45"/>
        <v>0</v>
      </c>
      <c r="M124" s="7">
        <f t="shared" si="46"/>
        <v>12856.298950050003</v>
      </c>
      <c r="N124">
        <f t="shared" si="32"/>
        <v>0.25862000000000002</v>
      </c>
      <c r="AO124">
        <v>0.25829000000000002</v>
      </c>
    </row>
    <row r="125" spans="4:41" x14ac:dyDescent="0.45">
      <c r="D125" s="3" t="s">
        <v>1311</v>
      </c>
      <c r="E125" s="3" t="s">
        <v>1312</v>
      </c>
      <c r="F125" s="1" t="s">
        <v>1313</v>
      </c>
      <c r="G125" s="3">
        <f t="shared" si="42"/>
        <v>-1.25868900000351</v>
      </c>
      <c r="H125" s="3">
        <f t="shared" si="43"/>
        <v>695.35000060000004</v>
      </c>
      <c r="I125" s="3">
        <f t="shared" si="44"/>
        <v>-5.9538364963607851E-6</v>
      </c>
      <c r="J125" s="7">
        <f t="shared" si="45"/>
        <v>0</v>
      </c>
      <c r="M125" s="7">
        <f t="shared" si="46"/>
        <v>13551.648950650002</v>
      </c>
      <c r="N125">
        <f t="shared" si="32"/>
        <v>0.274173</v>
      </c>
      <c r="AO125">
        <v>0.36735000000000001</v>
      </c>
    </row>
    <row r="126" spans="4:41" x14ac:dyDescent="0.45">
      <c r="D126" s="3" t="s">
        <v>1332</v>
      </c>
      <c r="E126" s="3" t="s">
        <v>1333</v>
      </c>
      <c r="F126" t="s">
        <v>1334</v>
      </c>
      <c r="G126" s="3">
        <f t="shared" si="42"/>
        <v>-1.2582930000035102</v>
      </c>
      <c r="H126" s="3">
        <f t="shared" si="43"/>
        <v>1484.1999896499999</v>
      </c>
      <c r="I126" s="3">
        <f t="shared" si="44"/>
        <v>1.6008624286268507E-5</v>
      </c>
      <c r="J126" s="7">
        <f t="shared" si="45"/>
        <v>0</v>
      </c>
      <c r="M126" s="7">
        <f t="shared" si="46"/>
        <v>15035.848940300002</v>
      </c>
      <c r="N126">
        <f t="shared" si="32"/>
        <v>0.25829000000000002</v>
      </c>
      <c r="AO126">
        <v>0.38348099999999996</v>
      </c>
    </row>
    <row r="127" spans="4:41" x14ac:dyDescent="0.45">
      <c r="D127" s="3" t="s">
        <v>1368</v>
      </c>
      <c r="E127" s="3" t="s">
        <v>1369</v>
      </c>
      <c r="F127" s="3" t="s">
        <v>1370</v>
      </c>
      <c r="G127" s="3">
        <f t="shared" si="42"/>
        <v>-2.3523830000004691</v>
      </c>
      <c r="H127" s="3">
        <f t="shared" si="43"/>
        <v>1350.3349059</v>
      </c>
      <c r="I127" s="3">
        <f t="shared" si="44"/>
        <v>-4.8614162096376222E-2</v>
      </c>
      <c r="J127" s="7">
        <f t="shared" si="45"/>
        <v>-4.4433421470364734E-2</v>
      </c>
      <c r="M127" s="7">
        <f t="shared" si="46"/>
        <v>16386.183846200001</v>
      </c>
      <c r="N127">
        <f t="shared" si="32"/>
        <v>0.36735000000000001</v>
      </c>
      <c r="AO127">
        <v>0.57121200000000005</v>
      </c>
    </row>
    <row r="128" spans="4:41" x14ac:dyDescent="0.45">
      <c r="D128" s="3" t="s">
        <v>1389</v>
      </c>
      <c r="E128" s="3" t="s">
        <v>1390</v>
      </c>
      <c r="F128" s="3" t="s">
        <v>1391</v>
      </c>
      <c r="G128" s="3">
        <f t="shared" si="42"/>
        <v>-2.3834819999908765</v>
      </c>
      <c r="H128" s="3">
        <f t="shared" si="43"/>
        <v>287.85051821666661</v>
      </c>
      <c r="I128" s="3">
        <f t="shared" si="44"/>
        <v>-6.4823228771120128E-3</v>
      </c>
      <c r="J128" s="7">
        <f t="shared" si="45"/>
        <v>0</v>
      </c>
      <c r="M128" s="7">
        <f t="shared" si="46"/>
        <v>16674.034364416668</v>
      </c>
      <c r="N128">
        <f t="shared" si="32"/>
        <v>0.38348099999999996</v>
      </c>
      <c r="AO128">
        <v>0.28956399999999999</v>
      </c>
    </row>
    <row r="129" spans="4:41" x14ac:dyDescent="0.45">
      <c r="D129" s="3" t="s">
        <v>1425</v>
      </c>
      <c r="E129" s="3" t="s">
        <v>1426</v>
      </c>
      <c r="F129" s="3" t="s">
        <v>1427</v>
      </c>
      <c r="G129" s="3">
        <f t="shared" si="42"/>
        <v>-2.5712130000004692</v>
      </c>
      <c r="H129" s="3">
        <f t="shared" si="43"/>
        <v>1404.6197943500001</v>
      </c>
      <c r="I129" s="3">
        <f t="shared" si="44"/>
        <v>-8.019152261618246E-3</v>
      </c>
      <c r="J129" s="7">
        <f t="shared" si="45"/>
        <v>0</v>
      </c>
      <c r="M129" s="7">
        <f t="shared" si="46"/>
        <v>18078.654158766669</v>
      </c>
      <c r="N129">
        <f t="shared" si="32"/>
        <v>0.57121200000000005</v>
      </c>
      <c r="AO129">
        <v>0.24250750000000001</v>
      </c>
    </row>
    <row r="130" spans="4:41" x14ac:dyDescent="0.45">
      <c r="D130" s="3" t="s">
        <v>1443</v>
      </c>
      <c r="E130" s="3" t="s">
        <v>1444</v>
      </c>
      <c r="F130" s="3" t="s">
        <v>1445</v>
      </c>
      <c r="G130" s="3">
        <f t="shared" si="42"/>
        <v>-2.2895670000004689</v>
      </c>
      <c r="H130" s="3">
        <f t="shared" si="43"/>
        <v>1363.7286325666669</v>
      </c>
      <c r="I130" s="3">
        <f t="shared" si="44"/>
        <v>1.2391585537215675E-2</v>
      </c>
      <c r="J130" s="7">
        <f t="shared" si="45"/>
        <v>0</v>
      </c>
      <c r="M130" s="7">
        <f t="shared" si="46"/>
        <v>19442.382791333337</v>
      </c>
      <c r="N130">
        <f t="shared" si="32"/>
        <v>0.28956399999999999</v>
      </c>
      <c r="AO130">
        <v>2.4918000000000003E-2</v>
      </c>
    </row>
    <row r="131" spans="4:41" x14ac:dyDescent="0.45">
      <c r="D131" s="3" t="s">
        <v>1467</v>
      </c>
      <c r="E131" s="3" t="s">
        <v>1468</v>
      </c>
      <c r="F131" s="3" t="s">
        <v>1469</v>
      </c>
      <c r="G131" s="3">
        <f t="shared" si="42"/>
        <v>-2.2273110000004692</v>
      </c>
      <c r="H131" s="3">
        <f t="shared" si="43"/>
        <v>565.1656367999999</v>
      </c>
      <c r="I131" s="3">
        <f t="shared" si="44"/>
        <v>6.6093190328233688E-3</v>
      </c>
      <c r="J131" s="7">
        <f t="shared" si="45"/>
        <v>0</v>
      </c>
      <c r="M131" s="7">
        <f t="shared" si="46"/>
        <v>20007.548428133337</v>
      </c>
      <c r="N131">
        <f t="shared" si="32"/>
        <v>0.24250750000000001</v>
      </c>
      <c r="AO131">
        <v>0.97744249999999999</v>
      </c>
    </row>
    <row r="132" spans="4:41" x14ac:dyDescent="0.45">
      <c r="D132" s="3" t="s">
        <v>1491</v>
      </c>
      <c r="E132" s="3" t="s">
        <v>1492</v>
      </c>
      <c r="F132" s="3" t="s">
        <v>1493</v>
      </c>
      <c r="G132" s="3">
        <f t="shared" si="42"/>
        <v>-2.0087799999998692</v>
      </c>
      <c r="H132" s="3">
        <f t="shared" si="43"/>
        <v>1568.1130300833333</v>
      </c>
      <c r="I132" s="3">
        <f t="shared" si="44"/>
        <v>8.3615528654456782E-3</v>
      </c>
      <c r="J132" s="7">
        <f t="shared" si="45"/>
        <v>0</v>
      </c>
      <c r="M132" s="7">
        <f t="shared" si="46"/>
        <v>21575.661458216669</v>
      </c>
      <c r="N132">
        <f t="shared" si="32"/>
        <v>2.4918000000000003E-2</v>
      </c>
      <c r="AO132">
        <v>0.898864</v>
      </c>
    </row>
    <row r="133" spans="4:41" x14ac:dyDescent="0.45">
      <c r="D133" s="3" t="s">
        <v>1506</v>
      </c>
      <c r="E133" s="3" t="s">
        <v>1507</v>
      </c>
      <c r="F133" s="3" t="s">
        <v>1508</v>
      </c>
      <c r="G133" s="3">
        <f t="shared" si="42"/>
        <v>-1.9774430000035101</v>
      </c>
      <c r="H133" s="3">
        <f t="shared" si="43"/>
        <v>780.44946885000013</v>
      </c>
      <c r="I133" s="3">
        <f t="shared" si="44"/>
        <v>2.4091502074465722E-3</v>
      </c>
      <c r="J133" s="7">
        <f t="shared" si="45"/>
        <v>7.6878776134488999E-2</v>
      </c>
      <c r="M133" s="7">
        <f t="shared" si="46"/>
        <v>22356.110927066671</v>
      </c>
      <c r="N133">
        <f t="shared" si="32"/>
        <v>0.97744249999999999</v>
      </c>
      <c r="AO133">
        <v>0.57106699999999999</v>
      </c>
    </row>
    <row r="134" spans="4:41" hidden="1" x14ac:dyDescent="0.45">
      <c r="D134" s="3" t="s">
        <v>1542</v>
      </c>
      <c r="E134" s="3" t="s">
        <v>1543</v>
      </c>
      <c r="F134" s="3" t="s">
        <v>1544</v>
      </c>
      <c r="G134" s="3">
        <f t="shared" si="42"/>
        <v>-1.8836320000035101</v>
      </c>
      <c r="H134" s="3">
        <f t="shared" si="43"/>
        <v>451.94843973333337</v>
      </c>
      <c r="I134" s="3">
        <f t="shared" si="44"/>
        <v>1.2454208279424809E-2</v>
      </c>
      <c r="J134" s="7">
        <f t="shared" si="45"/>
        <v>0</v>
      </c>
      <c r="M134" s="7">
        <f t="shared" si="46"/>
        <v>22808.059366800004</v>
      </c>
      <c r="N134">
        <f t="shared" si="32"/>
        <v>0.898864</v>
      </c>
      <c r="AO134">
        <v>0</v>
      </c>
    </row>
    <row r="135" spans="4:41" hidden="1" x14ac:dyDescent="0.45">
      <c r="D135" s="3" t="s">
        <v>1555</v>
      </c>
      <c r="E135" s="3" t="s">
        <v>1556</v>
      </c>
      <c r="F135" s="3" t="s">
        <v>1557</v>
      </c>
      <c r="G135" s="3">
        <f t="shared" si="42"/>
        <v>-1.5710690000035101</v>
      </c>
      <c r="H135" s="3">
        <f t="shared" si="43"/>
        <v>1056.694788</v>
      </c>
      <c r="I135" s="3">
        <f t="shared" si="44"/>
        <v>1.7747584461446208E-2</v>
      </c>
      <c r="J135" s="7">
        <f t="shared" si="45"/>
        <v>0</v>
      </c>
      <c r="M135" s="7">
        <f t="shared" si="46"/>
        <v>23864.754154800004</v>
      </c>
      <c r="N135">
        <f t="shared" si="32"/>
        <v>0.57106699999999999</v>
      </c>
      <c r="AO135">
        <v>0</v>
      </c>
    </row>
    <row r="136" spans="4:41" hidden="1" x14ac:dyDescent="0.45">
      <c r="D136" s="3"/>
      <c r="E136" s="3"/>
      <c r="F136" s="3"/>
      <c r="AO136">
        <v>0</v>
      </c>
    </row>
    <row r="137" spans="4:41" x14ac:dyDescent="0.45">
      <c r="D137" s="12" t="str">
        <f>("№"&amp;B7&amp;" - "&amp;A7)</f>
        <v>№6 - IMG COR LSU</v>
      </c>
      <c r="E137" s="12"/>
      <c r="F137" s="12"/>
      <c r="G137" s="13"/>
      <c r="H137" s="13"/>
      <c r="I137" s="13"/>
      <c r="J137" s="14"/>
      <c r="K137" s="13"/>
      <c r="L137" s="13"/>
      <c r="M137" s="14"/>
      <c r="N137" s="13"/>
      <c r="AO137">
        <v>0.89918549999999997</v>
      </c>
    </row>
    <row r="138" spans="4:41" x14ac:dyDescent="0.45">
      <c r="D138" s="12" t="s">
        <v>8</v>
      </c>
      <c r="E138" s="12" t="s">
        <v>9</v>
      </c>
      <c r="F138" s="12" t="s">
        <v>10</v>
      </c>
      <c r="G138" s="12" t="s">
        <v>346</v>
      </c>
      <c r="H138" s="12" t="s">
        <v>222</v>
      </c>
      <c r="I138" s="12" t="s">
        <v>223</v>
      </c>
      <c r="J138" s="12" t="s">
        <v>224</v>
      </c>
      <c r="K138" s="12" t="s">
        <v>225</v>
      </c>
      <c r="L138" s="12" t="s">
        <v>345</v>
      </c>
      <c r="M138" s="12" t="s">
        <v>344</v>
      </c>
      <c r="N138" s="12"/>
      <c r="AO138">
        <v>0.9155025</v>
      </c>
    </row>
    <row r="139" spans="4:41" x14ac:dyDescent="0.45">
      <c r="D139" s="2" t="s">
        <v>840</v>
      </c>
      <c r="E139" s="2" t="s">
        <v>841</v>
      </c>
      <c r="F139" s="1" t="s">
        <v>842</v>
      </c>
      <c r="G139" s="3">
        <f t="shared" ref="G139:G169" si="47">(DATEVALUE(LEFT(E139, 10))-DATEVALUE(LEFT(D139, 10))) * 86400 + (TIMEVALUE(MID(E139, 12, 8)) - TIMEVALUE(MID(D139, 12, 8))) * 86400 + (VALUE(RIGHT(E139, 6)) - VALUE(RIGHT(D139, 6))) / 1000000</f>
        <v>-0.88381400000055599</v>
      </c>
      <c r="H139" s="3"/>
      <c r="I139" s="3"/>
      <c r="J139" s="6"/>
      <c r="K139" s="3" cm="1">
        <f t="array" ref="K139">((LOOKUP(2,1/(G139:G160&lt;&gt;""),G139:G160) - G139)/SUM(H140:H171)) * 60</f>
        <v>4.9288934779184522E-2</v>
      </c>
      <c r="L139" s="3">
        <f>((FLOOR(MAX(G139:G171), 1)-FLOOR(MIN(G139:G171), 1))/SUM(H140:H171)) * 60</f>
        <v>7.7980621584013587E-2</v>
      </c>
      <c r="M139" s="6">
        <v>0</v>
      </c>
      <c r="N139">
        <f t="shared" ref="N139:N169" si="48">(MID(F139, 2, 7) + MID(F139, 12, 8)) / 2</f>
        <v>0.89918549999999997</v>
      </c>
      <c r="AO139">
        <v>0.1956975</v>
      </c>
    </row>
    <row r="140" spans="4:41" x14ac:dyDescent="0.45">
      <c r="D140" s="2" t="s">
        <v>863</v>
      </c>
      <c r="E140" s="2" t="s">
        <v>864</v>
      </c>
      <c r="F140" s="1" t="s">
        <v>865</v>
      </c>
      <c r="G140" s="3">
        <f t="shared" si="47"/>
        <v>8.4495000000000001E-2</v>
      </c>
      <c r="H140" s="3">
        <f t="shared" ref="H140:H169" si="49">((DATEVALUE(LEFT(D140,10))-DATEVALUE(LEFT(D139,10)))*86400+(TIMEVALUE(MID(D140,12,8))-TIMEVALUE(MID(D139,12,8)))*86400+(VALUE(RIGHT(D140,6))-VALUE(RIGHT(D139,6)))/1000000)/ 60</f>
        <v>786.60051438333323</v>
      </c>
      <c r="I140" s="3">
        <f t="shared" ref="I140:I169" si="50">3600 * (G140-G139) / ((DATEVALUE(LEFT(D140, 10))-DATEVALUE(LEFT(D139, 10))) * 86400 + (TIMEVALUE(MID(D140, 12, 8)) - TIMEVALUE(MID(D139, 12, 8))) * 86400 + (VALUE(RIGHT(D140, 6)) - VALUE(RIGHT(D139, 6))) / 1000000)</f>
        <v>7.3860287322060222E-2</v>
      </c>
      <c r="J140" s="7">
        <f t="shared" ref="J140:J146" si="51">(FLOOR(G140, 1) - FLOOR(G139, 1)) / H140 * 60</f>
        <v>7.6277600767955075E-2</v>
      </c>
      <c r="L140" s="3"/>
      <c r="M140" s="7">
        <f t="shared" ref="M140:M146" si="52">M139 + H140</f>
        <v>786.60051438333323</v>
      </c>
      <c r="N140">
        <f t="shared" si="48"/>
        <v>0.9155025</v>
      </c>
      <c r="AO140">
        <v>0.22704649999999998</v>
      </c>
    </row>
    <row r="141" spans="4:41" x14ac:dyDescent="0.45">
      <c r="D141" s="2" t="s">
        <v>890</v>
      </c>
      <c r="E141" s="2" t="s">
        <v>891</v>
      </c>
      <c r="F141" s="1" t="s">
        <v>892</v>
      </c>
      <c r="G141" s="3">
        <f t="shared" si="47"/>
        <v>0.80430000000000001</v>
      </c>
      <c r="H141" s="3">
        <f t="shared" si="49"/>
        <v>516.18801001666679</v>
      </c>
      <c r="I141" s="3">
        <f t="shared" si="50"/>
        <v>8.3667770583446002E-2</v>
      </c>
      <c r="J141" s="7">
        <f t="shared" si="51"/>
        <v>0</v>
      </c>
      <c r="K141" t="s">
        <v>340</v>
      </c>
      <c r="M141" s="7">
        <f t="shared" si="52"/>
        <v>1302.7885243999999</v>
      </c>
      <c r="N141">
        <f t="shared" si="48"/>
        <v>0.1956975</v>
      </c>
      <c r="AO141">
        <v>0.6494120000000001</v>
      </c>
    </row>
    <row r="142" spans="4:41" x14ac:dyDescent="0.45">
      <c r="D142" s="2" t="s">
        <v>908</v>
      </c>
      <c r="E142" s="2" t="s">
        <v>909</v>
      </c>
      <c r="F142" s="1" t="s">
        <v>910</v>
      </c>
      <c r="G142" s="3">
        <f t="shared" si="47"/>
        <v>3.7729500000004688</v>
      </c>
      <c r="H142" s="3">
        <f t="shared" si="49"/>
        <v>1354.9505193666666</v>
      </c>
      <c r="I142" s="3">
        <f t="shared" si="50"/>
        <v>0.13145793699041114</v>
      </c>
      <c r="J142" s="7">
        <f t="shared" si="51"/>
        <v>0.13284617956686412</v>
      </c>
      <c r="K142" s="3">
        <f>(MAX(G139:G160) / (DATEDIF(VALUE(DATE(2000 + MID(B16, 1, 2), MID(B16, 4, 2), MID(B16, 7, 2))), VALUE(DATEVALUE(MID(D139, 1, 10)) + TIMEVALUE(MID(D139, 12, 8)) + MID(D139, 21, 6) / 86400000), "d") * 1440 + (TIMEVALUE(MID(D139, 12, 8)) - TIMEVALUE(RIGHT(B16, 8))) * 1440 + MID(D139, 21, 6) / 86400000 + MAX(M139:M160))) * 60</f>
        <v>7.4578962077154462E-2</v>
      </c>
      <c r="L142" s="3"/>
      <c r="M142" s="7">
        <f t="shared" si="52"/>
        <v>2657.7390437666663</v>
      </c>
      <c r="N142">
        <f t="shared" si="48"/>
        <v>0.22704649999999998</v>
      </c>
      <c r="AO142">
        <v>0.18048249999999999</v>
      </c>
    </row>
    <row r="143" spans="4:41" x14ac:dyDescent="0.45">
      <c r="D143" s="2" t="s">
        <v>928</v>
      </c>
      <c r="E143" s="2" t="s">
        <v>929</v>
      </c>
      <c r="F143" s="1" t="s">
        <v>930</v>
      </c>
      <c r="G143" s="3">
        <f t="shared" si="47"/>
        <v>4.3669660000070198</v>
      </c>
      <c r="H143" s="3">
        <f t="shared" si="49"/>
        <v>1250.7734338333332</v>
      </c>
      <c r="I143" s="3">
        <f t="shared" si="50"/>
        <v>2.849513671805589E-2</v>
      </c>
      <c r="J143" s="7">
        <f t="shared" si="51"/>
        <v>4.7970318506137262E-2</v>
      </c>
      <c r="K143" s="3"/>
      <c r="L143" s="3"/>
      <c r="M143" s="7">
        <f t="shared" si="52"/>
        <v>3908.5124775999993</v>
      </c>
      <c r="N143">
        <f t="shared" si="48"/>
        <v>0.6494120000000001</v>
      </c>
      <c r="AO143">
        <v>0.35247200000000001</v>
      </c>
    </row>
    <row r="144" spans="4:41" x14ac:dyDescent="0.45">
      <c r="D144" s="2" t="s">
        <v>959</v>
      </c>
      <c r="E144" s="2" t="s">
        <v>960</v>
      </c>
      <c r="F144" s="1" t="s">
        <v>961</v>
      </c>
      <c r="G144" s="3">
        <f t="shared" si="47"/>
        <v>4.8352809999998261</v>
      </c>
      <c r="H144" s="3">
        <f t="shared" si="49"/>
        <v>339.94220078333336</v>
      </c>
      <c r="I144" s="3">
        <f t="shared" si="50"/>
        <v>8.2657875176485013E-2</v>
      </c>
      <c r="J144" s="7">
        <f t="shared" si="51"/>
        <v>0</v>
      </c>
      <c r="K144" s="8" t="s">
        <v>995</v>
      </c>
      <c r="L144" s="3"/>
      <c r="M144" s="7">
        <f t="shared" si="52"/>
        <v>4248.454678383333</v>
      </c>
      <c r="N144">
        <f t="shared" si="48"/>
        <v>0.18048249999999999</v>
      </c>
      <c r="AO144">
        <v>3.94995E-2</v>
      </c>
    </row>
    <row r="145" spans="4:41" x14ac:dyDescent="0.45">
      <c r="D145" s="2" t="s">
        <v>988</v>
      </c>
      <c r="E145" s="2" t="s">
        <v>989</v>
      </c>
      <c r="F145" s="1" t="s">
        <v>990</v>
      </c>
      <c r="G145" s="3">
        <f t="shared" si="47"/>
        <v>6.6475269999961419</v>
      </c>
      <c r="H145" s="3">
        <f t="shared" si="49"/>
        <v>534.13646080000001</v>
      </c>
      <c r="I145" s="3">
        <f t="shared" si="50"/>
        <v>0.20357112457165358</v>
      </c>
      <c r="J145" s="7">
        <f t="shared" si="51"/>
        <v>0.22466169004877637</v>
      </c>
      <c r="K145">
        <f>_xlfn.STDEV.P(I140:I160)</f>
        <v>4.8589933264012571E-2</v>
      </c>
      <c r="L145" s="3"/>
      <c r="M145" s="7">
        <f t="shared" si="52"/>
        <v>4782.5911391833333</v>
      </c>
      <c r="N145">
        <f t="shared" si="48"/>
        <v>0.35247200000000001</v>
      </c>
      <c r="AO145">
        <v>5.5192999999999999E-2</v>
      </c>
    </row>
    <row r="146" spans="4:41" x14ac:dyDescent="0.45">
      <c r="D146" s="3" t="s">
        <v>1007</v>
      </c>
      <c r="E146" s="3" t="s">
        <v>1008</v>
      </c>
      <c r="F146" s="1" t="s">
        <v>1009</v>
      </c>
      <c r="G146" s="3">
        <f t="shared" si="47"/>
        <v>6.9604990000009384</v>
      </c>
      <c r="H146" s="3">
        <f t="shared" si="49"/>
        <v>214.89478066666661</v>
      </c>
      <c r="I146" s="3">
        <f t="shared" si="50"/>
        <v>8.7383788205706664E-2</v>
      </c>
      <c r="J146" s="7">
        <f t="shared" si="51"/>
        <v>0</v>
      </c>
      <c r="L146" s="3"/>
      <c r="M146" s="7">
        <f t="shared" si="52"/>
        <v>4997.4859198499998</v>
      </c>
      <c r="N146">
        <f t="shared" si="48"/>
        <v>3.94995E-2</v>
      </c>
      <c r="AO146">
        <v>0.32128599999999996</v>
      </c>
    </row>
    <row r="147" spans="4:41" x14ac:dyDescent="0.45">
      <c r="D147" s="3" t="s">
        <v>1023</v>
      </c>
      <c r="E147" s="3" t="s">
        <v>1024</v>
      </c>
      <c r="F147" s="1" t="s">
        <v>1025</v>
      </c>
      <c r="G147" s="3">
        <f t="shared" si="47"/>
        <v>5.9604870000003816</v>
      </c>
      <c r="H147" s="3">
        <f t="shared" si="49"/>
        <v>685.06666263333341</v>
      </c>
      <c r="I147" s="3">
        <f t="shared" si="50"/>
        <v>-8.758376851881268E-2</v>
      </c>
      <c r="J147" s="7">
        <f t="shared" ref="J147:J169" si="53">(FLOOR(G147, 1) - FLOOR(G146, 1)) / H147 * 60</f>
        <v>-8.7582717526153597E-2</v>
      </c>
      <c r="L147" s="3"/>
      <c r="M147" s="7">
        <f t="shared" ref="M147:M169" si="54">M146 + H147</f>
        <v>5682.552582483333</v>
      </c>
      <c r="N147">
        <f t="shared" si="48"/>
        <v>5.5192999999999999E-2</v>
      </c>
      <c r="AO147">
        <v>0.7740165</v>
      </c>
    </row>
    <row r="148" spans="4:41" x14ac:dyDescent="0.45">
      <c r="D148" s="3" t="s">
        <v>1062</v>
      </c>
      <c r="E148" s="3" t="s">
        <v>1063</v>
      </c>
      <c r="F148" s="1" t="s">
        <v>1064</v>
      </c>
      <c r="G148" s="3">
        <f t="shared" si="47"/>
        <v>6.6787110000009378</v>
      </c>
      <c r="H148" s="3">
        <f t="shared" si="49"/>
        <v>546.42137089999994</v>
      </c>
      <c r="I148" s="3">
        <f t="shared" si="50"/>
        <v>7.8864851001444192E-2</v>
      </c>
      <c r="J148" s="7">
        <f t="shared" si="53"/>
        <v>0.10980536852205318</v>
      </c>
      <c r="L148" s="3"/>
      <c r="M148" s="7">
        <f t="shared" si="54"/>
        <v>6228.9739533833326</v>
      </c>
      <c r="N148">
        <f t="shared" si="48"/>
        <v>0.32128599999999996</v>
      </c>
      <c r="AO148">
        <v>0.94596550000000001</v>
      </c>
    </row>
    <row r="149" spans="4:41" x14ac:dyDescent="0.45">
      <c r="D149" s="3" t="s">
        <v>1083</v>
      </c>
      <c r="E149" s="3" t="s">
        <v>1084</v>
      </c>
      <c r="F149" s="1" t="s">
        <v>1085</v>
      </c>
      <c r="G149" s="3">
        <f t="shared" si="47"/>
        <v>7.2410050000074895</v>
      </c>
      <c r="H149" s="3">
        <f t="shared" si="49"/>
        <v>337.12395836666661</v>
      </c>
      <c r="I149" s="3">
        <f t="shared" si="50"/>
        <v>0.10007488095431943</v>
      </c>
      <c r="J149" s="7">
        <f t="shared" si="53"/>
        <v>0.17797607826715806</v>
      </c>
      <c r="L149" s="3"/>
      <c r="M149" s="7">
        <f t="shared" si="54"/>
        <v>6566.0979117499992</v>
      </c>
      <c r="N149">
        <f t="shared" si="48"/>
        <v>0.7740165</v>
      </c>
      <c r="AO149">
        <v>0.1021325</v>
      </c>
    </row>
    <row r="150" spans="4:41" x14ac:dyDescent="0.45">
      <c r="D150" s="3" t="s">
        <v>1101</v>
      </c>
      <c r="E150" s="3" t="s">
        <v>1102</v>
      </c>
      <c r="F150" s="1" t="s">
        <v>1103</v>
      </c>
      <c r="G150" s="3">
        <f t="shared" si="47"/>
        <v>8.0540329999996523</v>
      </c>
      <c r="H150" s="3">
        <f t="shared" si="49"/>
        <v>575.1364526000001</v>
      </c>
      <c r="I150" s="3">
        <f t="shared" si="50"/>
        <v>8.4817576383837356E-2</v>
      </c>
      <c r="J150" s="7">
        <f t="shared" si="53"/>
        <v>0.10432306929731198</v>
      </c>
      <c r="L150" s="3"/>
      <c r="M150" s="7">
        <f t="shared" si="54"/>
        <v>7141.2343643499989</v>
      </c>
      <c r="N150">
        <f t="shared" si="48"/>
        <v>0.94596550000000001</v>
      </c>
      <c r="AO150">
        <v>2.41795E-2</v>
      </c>
    </row>
    <row r="151" spans="4:41" x14ac:dyDescent="0.45">
      <c r="D151" s="3" t="s">
        <v>1131</v>
      </c>
      <c r="E151" s="3" t="s">
        <v>1132</v>
      </c>
      <c r="F151" s="1" t="s">
        <v>1133</v>
      </c>
      <c r="G151" s="3">
        <f t="shared" si="47"/>
        <v>8.8978640000044482</v>
      </c>
      <c r="H151" s="3">
        <f t="shared" si="49"/>
        <v>663.71926941666652</v>
      </c>
      <c r="I151" s="3">
        <f t="shared" si="50"/>
        <v>7.6282040213757271E-2</v>
      </c>
      <c r="J151" s="7">
        <f t="shared" si="53"/>
        <v>0</v>
      </c>
      <c r="L151" s="3"/>
      <c r="M151" s="7">
        <f t="shared" si="54"/>
        <v>7804.953633766665</v>
      </c>
      <c r="N151">
        <f t="shared" si="48"/>
        <v>0.1021325</v>
      </c>
      <c r="AO151">
        <v>0.274065</v>
      </c>
    </row>
    <row r="152" spans="4:41" x14ac:dyDescent="0.45">
      <c r="D152" s="3" t="s">
        <v>1146</v>
      </c>
      <c r="E152" s="3" t="s">
        <v>1147</v>
      </c>
      <c r="F152" s="1" t="s">
        <v>1148</v>
      </c>
      <c r="G152" s="3">
        <f t="shared" si="47"/>
        <v>9.9912290000002084</v>
      </c>
      <c r="H152" s="3">
        <f t="shared" si="49"/>
        <v>797.33177731666683</v>
      </c>
      <c r="I152" s="3">
        <f t="shared" si="50"/>
        <v>8.2276790999753782E-2</v>
      </c>
      <c r="J152" s="7">
        <f t="shared" si="53"/>
        <v>7.5250982974645081E-2</v>
      </c>
      <c r="L152" s="3"/>
      <c r="M152" s="7">
        <f t="shared" si="54"/>
        <v>8602.2854110833323</v>
      </c>
      <c r="N152">
        <f t="shared" si="48"/>
        <v>2.41795E-2</v>
      </c>
      <c r="AO152">
        <v>2.4389500000000001E-2</v>
      </c>
    </row>
    <row r="153" spans="4:41" x14ac:dyDescent="0.45">
      <c r="D153" s="3" t="s">
        <v>1179</v>
      </c>
      <c r="E153" s="3" t="s">
        <v>1180</v>
      </c>
      <c r="F153" s="1" t="s">
        <v>1181</v>
      </c>
      <c r="G153" s="3">
        <f t="shared" si="47"/>
        <v>10.741217999998366</v>
      </c>
      <c r="H153" s="3">
        <f t="shared" si="49"/>
        <v>610.92083088333334</v>
      </c>
      <c r="I153" s="3">
        <f t="shared" si="50"/>
        <v>7.3658218422221214E-2</v>
      </c>
      <c r="J153" s="7">
        <f t="shared" si="53"/>
        <v>9.8212398345045318E-2</v>
      </c>
      <c r="L153" s="3"/>
      <c r="M153" s="7">
        <f t="shared" si="54"/>
        <v>9213.2062419666654</v>
      </c>
      <c r="N153">
        <f t="shared" si="48"/>
        <v>0.274065</v>
      </c>
      <c r="AO153">
        <v>0.41490300000000002</v>
      </c>
    </row>
    <row r="154" spans="4:41" x14ac:dyDescent="0.45">
      <c r="D154" s="3" t="s">
        <v>1200</v>
      </c>
      <c r="E154" s="3" t="s">
        <v>1201</v>
      </c>
      <c r="F154" s="1" t="s">
        <v>1202</v>
      </c>
      <c r="G154" s="3">
        <f t="shared" si="47"/>
        <v>10.991615999998366</v>
      </c>
      <c r="H154" s="3">
        <f t="shared" si="49"/>
        <v>171.01249146666672</v>
      </c>
      <c r="I154" s="3">
        <f t="shared" si="50"/>
        <v>8.7852529783933639E-2</v>
      </c>
      <c r="J154" s="7">
        <f t="shared" si="53"/>
        <v>0</v>
      </c>
      <c r="L154" s="3"/>
      <c r="M154" s="7">
        <f t="shared" si="54"/>
        <v>9384.2187334333321</v>
      </c>
      <c r="N154">
        <f t="shared" si="48"/>
        <v>2.4389500000000001E-2</v>
      </c>
      <c r="AO154">
        <v>0.21157500000000001</v>
      </c>
    </row>
    <row r="155" spans="4:41" x14ac:dyDescent="0.45">
      <c r="D155" s="3" t="s">
        <v>1233</v>
      </c>
      <c r="E155" s="3" t="s">
        <v>1234</v>
      </c>
      <c r="F155" s="1" t="s">
        <v>1235</v>
      </c>
      <c r="G155" s="3">
        <f t="shared" si="47"/>
        <v>13.585094000008427</v>
      </c>
      <c r="H155" s="3">
        <f t="shared" si="49"/>
        <v>1889.0567827999998</v>
      </c>
      <c r="I155" s="3">
        <f t="shared" si="50"/>
        <v>8.2373744091459838E-2</v>
      </c>
      <c r="J155" s="7">
        <f t="shared" si="53"/>
        <v>9.5285648181099247E-2</v>
      </c>
      <c r="L155" s="3"/>
      <c r="M155" s="7">
        <f t="shared" si="54"/>
        <v>11273.275516233332</v>
      </c>
      <c r="N155">
        <f t="shared" si="48"/>
        <v>0.41490300000000002</v>
      </c>
      <c r="AO155">
        <v>0.94595000000000007</v>
      </c>
    </row>
    <row r="156" spans="4:41" x14ac:dyDescent="0.45">
      <c r="D156" s="3" t="s">
        <v>1242</v>
      </c>
      <c r="E156" s="3" t="s">
        <v>1243</v>
      </c>
      <c r="F156" s="1" t="s">
        <v>1244</v>
      </c>
      <c r="G156" s="3">
        <f t="shared" si="47"/>
        <v>14.804344999995793</v>
      </c>
      <c r="H156" s="3">
        <f t="shared" si="49"/>
        <v>938.71300573333326</v>
      </c>
      <c r="I156" s="3">
        <f t="shared" si="50"/>
        <v>7.7931230900644036E-2</v>
      </c>
      <c r="J156" s="7">
        <f t="shared" si="53"/>
        <v>6.3917299146321424E-2</v>
      </c>
      <c r="L156" s="3"/>
      <c r="M156" s="7">
        <f t="shared" si="54"/>
        <v>12211.988521966665</v>
      </c>
      <c r="N156">
        <f t="shared" si="48"/>
        <v>0.21157500000000001</v>
      </c>
      <c r="AO156">
        <v>0.33640500000000001</v>
      </c>
    </row>
    <row r="157" spans="4:41" x14ac:dyDescent="0.45">
      <c r="D157" s="3" t="s">
        <v>1260</v>
      </c>
      <c r="E157" s="3" t="s">
        <v>1261</v>
      </c>
      <c r="F157" t="s">
        <v>1262</v>
      </c>
      <c r="G157" s="3">
        <f t="shared" si="47"/>
        <v>15.054049000002344</v>
      </c>
      <c r="H157" s="3">
        <f t="shared" si="49"/>
        <v>220.04583671666657</v>
      </c>
      <c r="I157" s="3">
        <f t="shared" si="50"/>
        <v>6.8086905091889277E-2</v>
      </c>
      <c r="J157" s="7">
        <f t="shared" si="53"/>
        <v>0.27267046218764257</v>
      </c>
      <c r="L157" s="3"/>
      <c r="M157" s="7">
        <f t="shared" si="54"/>
        <v>12432.034358683331</v>
      </c>
      <c r="N157">
        <f t="shared" si="48"/>
        <v>0.94595000000000007</v>
      </c>
      <c r="AO157">
        <v>0.33662800000000004</v>
      </c>
    </row>
    <row r="158" spans="4:41" x14ac:dyDescent="0.45">
      <c r="D158" s="3" t="s">
        <v>1299</v>
      </c>
      <c r="E158" s="3" t="s">
        <v>1300</v>
      </c>
      <c r="F158" s="1" t="s">
        <v>1301</v>
      </c>
      <c r="G158" s="3">
        <f t="shared" si="47"/>
        <v>15.679170999999947</v>
      </c>
      <c r="H158" s="3">
        <f t="shared" si="49"/>
        <v>422.40625168333349</v>
      </c>
      <c r="I158" s="3">
        <f t="shared" si="50"/>
        <v>8.8794424444206377E-2</v>
      </c>
      <c r="J158" s="7">
        <f t="shared" si="53"/>
        <v>0</v>
      </c>
      <c r="L158" s="3"/>
      <c r="M158" s="7">
        <f t="shared" si="54"/>
        <v>12854.440610366664</v>
      </c>
      <c r="N158">
        <f t="shared" si="48"/>
        <v>0.33640500000000001</v>
      </c>
      <c r="AO158">
        <v>0.2897515</v>
      </c>
    </row>
    <row r="159" spans="4:41" x14ac:dyDescent="0.45">
      <c r="D159" s="3" t="s">
        <v>1329</v>
      </c>
      <c r="E159" s="3" t="s">
        <v>1330</v>
      </c>
      <c r="F159" s="1" t="s">
        <v>1331</v>
      </c>
      <c r="G159" s="3">
        <f t="shared" si="47"/>
        <v>16.679186999999303</v>
      </c>
      <c r="H159" s="3">
        <f t="shared" si="49"/>
        <v>696.9999958833331</v>
      </c>
      <c r="I159" s="3">
        <f t="shared" si="50"/>
        <v>8.6084591613117545E-2</v>
      </c>
      <c r="J159" s="7">
        <f t="shared" si="53"/>
        <v>8.6083214281744494E-2</v>
      </c>
      <c r="L159" s="3"/>
      <c r="M159" s="7">
        <f t="shared" si="54"/>
        <v>13551.440606249997</v>
      </c>
      <c r="N159">
        <f t="shared" si="48"/>
        <v>0.33662800000000004</v>
      </c>
      <c r="AO159">
        <v>0.63450649999999997</v>
      </c>
    </row>
    <row r="160" spans="4:41" x14ac:dyDescent="0.45">
      <c r="D160" s="3" t="s">
        <v>1350</v>
      </c>
      <c r="E160" s="3" t="s">
        <v>1351</v>
      </c>
      <c r="F160" t="s">
        <v>1352</v>
      </c>
      <c r="G160" s="3">
        <f t="shared" si="47"/>
        <v>18.710246000002815</v>
      </c>
      <c r="H160" s="3">
        <f t="shared" si="49"/>
        <v>1499.4328163166667</v>
      </c>
      <c r="I160" s="3">
        <f t="shared" si="50"/>
        <v>8.1273091180948442E-2</v>
      </c>
      <c r="J160" s="7">
        <f t="shared" si="53"/>
        <v>8.0030261238898406E-2</v>
      </c>
      <c r="L160" s="3"/>
      <c r="M160" s="7">
        <f t="shared" si="54"/>
        <v>15050.873422566663</v>
      </c>
      <c r="N160">
        <f t="shared" si="48"/>
        <v>0.2897515</v>
      </c>
      <c r="AO160">
        <v>0.28978700000000002</v>
      </c>
    </row>
    <row r="161" spans="4:41" x14ac:dyDescent="0.45">
      <c r="D161" s="3" t="s">
        <v>1371</v>
      </c>
      <c r="E161" s="3" t="s">
        <v>1372</v>
      </c>
      <c r="F161" s="3" t="s">
        <v>1373</v>
      </c>
      <c r="G161" s="3">
        <f t="shared" si="47"/>
        <v>19.365492999999773</v>
      </c>
      <c r="H161" s="3">
        <f t="shared" si="49"/>
        <v>1319.7890835833334</v>
      </c>
      <c r="I161" s="3">
        <f t="shared" si="50"/>
        <v>2.9788714339926647E-2</v>
      </c>
      <c r="J161" s="7">
        <f t="shared" si="53"/>
        <v>4.546180957725092E-2</v>
      </c>
      <c r="L161" s="3"/>
      <c r="M161" s="7">
        <f t="shared" si="54"/>
        <v>16370.662506149996</v>
      </c>
      <c r="N161">
        <f t="shared" si="48"/>
        <v>0.63450649999999997</v>
      </c>
      <c r="AO161">
        <v>0.53961300000000001</v>
      </c>
    </row>
    <row r="162" spans="4:41" x14ac:dyDescent="0.45">
      <c r="D162" s="3" t="s">
        <v>1392</v>
      </c>
      <c r="E162" s="3" t="s">
        <v>1393</v>
      </c>
      <c r="F162" s="3" t="s">
        <v>1394</v>
      </c>
      <c r="G162" s="3">
        <f t="shared" si="47"/>
        <v>19.710208999999772</v>
      </c>
      <c r="H162" s="3">
        <f t="shared" si="49"/>
        <v>288.17758759999998</v>
      </c>
      <c r="I162" s="3">
        <f t="shared" si="50"/>
        <v>7.1771577284172869E-2</v>
      </c>
      <c r="J162" s="7">
        <f t="shared" si="53"/>
        <v>0</v>
      </c>
      <c r="L162" s="3"/>
      <c r="M162" s="7">
        <f t="shared" si="54"/>
        <v>16658.840093749997</v>
      </c>
      <c r="N162">
        <f t="shared" si="48"/>
        <v>0.28978700000000002</v>
      </c>
      <c r="AO162">
        <v>0.35294449999999999</v>
      </c>
    </row>
    <row r="163" spans="4:41" x14ac:dyDescent="0.45">
      <c r="D163" s="3" t="s">
        <v>1419</v>
      </c>
      <c r="E163" s="3" t="s">
        <v>1420</v>
      </c>
      <c r="F163" s="3" t="s">
        <v>1421</v>
      </c>
      <c r="G163" s="3">
        <f t="shared" si="47"/>
        <v>21.460387000003283</v>
      </c>
      <c r="H163" s="3">
        <f t="shared" si="49"/>
        <v>1396.3208302333333</v>
      </c>
      <c r="I163" s="3">
        <f t="shared" si="50"/>
        <v>7.5205266387569983E-2</v>
      </c>
      <c r="J163" s="7">
        <f t="shared" si="53"/>
        <v>8.5940134531937995E-2</v>
      </c>
      <c r="L163" s="3"/>
      <c r="M163" s="7">
        <f t="shared" si="54"/>
        <v>18055.160923983331</v>
      </c>
      <c r="N163">
        <f t="shared" si="48"/>
        <v>0.53961300000000001</v>
      </c>
      <c r="AO163">
        <v>0.58660449999999997</v>
      </c>
    </row>
    <row r="164" spans="4:41" x14ac:dyDescent="0.45">
      <c r="D164" s="3" t="s">
        <v>1446</v>
      </c>
      <c r="E164" s="3" t="s">
        <v>1447</v>
      </c>
      <c r="F164" s="3" t="s">
        <v>1448</v>
      </c>
      <c r="G164" s="3">
        <f t="shared" si="47"/>
        <v>23.6470559999972</v>
      </c>
      <c r="H164" s="3">
        <f t="shared" si="49"/>
        <v>1372.6468858166666</v>
      </c>
      <c r="I164" s="3">
        <f t="shared" si="50"/>
        <v>9.5581858200608133E-2</v>
      </c>
      <c r="J164" s="7">
        <f t="shared" si="53"/>
        <v>8.7422337995255853E-2</v>
      </c>
      <c r="L164" s="3"/>
      <c r="M164" s="7">
        <f t="shared" si="54"/>
        <v>19427.807809799997</v>
      </c>
      <c r="N164">
        <f t="shared" si="48"/>
        <v>0.35294449999999999</v>
      </c>
      <c r="AO164">
        <v>0.24262349999999999</v>
      </c>
    </row>
    <row r="165" spans="4:41" x14ac:dyDescent="0.45">
      <c r="D165" s="3" t="s">
        <v>1473</v>
      </c>
      <c r="E165" s="3" t="s">
        <v>1474</v>
      </c>
      <c r="F165" s="3" t="s">
        <v>1475</v>
      </c>
      <c r="G165" s="3">
        <f t="shared" si="47"/>
        <v>24.428675999994159</v>
      </c>
      <c r="H165" s="3">
        <f t="shared" si="49"/>
        <v>567.80364639999993</v>
      </c>
      <c r="I165" s="3">
        <f t="shared" si="50"/>
        <v>8.259404513718098E-2</v>
      </c>
      <c r="J165" s="7">
        <f t="shared" si="53"/>
        <v>0.10567033230662255</v>
      </c>
      <c r="L165" s="3"/>
      <c r="M165" s="7">
        <f t="shared" si="54"/>
        <v>19995.611456199997</v>
      </c>
      <c r="N165">
        <f t="shared" si="48"/>
        <v>0.58660449999999997</v>
      </c>
      <c r="AO165">
        <v>0.1026165</v>
      </c>
    </row>
    <row r="166" spans="4:41" x14ac:dyDescent="0.45">
      <c r="D166" s="3" t="s">
        <v>1482</v>
      </c>
      <c r="E166" s="3" t="s">
        <v>1483</v>
      </c>
      <c r="F166" s="3" t="s">
        <v>1484</v>
      </c>
      <c r="G166" s="3">
        <f t="shared" si="47"/>
        <v>26.773186999999467</v>
      </c>
      <c r="H166" s="3">
        <f t="shared" si="49"/>
        <v>1554.5442507333332</v>
      </c>
      <c r="I166" s="3">
        <f t="shared" si="50"/>
        <v>9.0489968319627578E-2</v>
      </c>
      <c r="J166" s="7">
        <f t="shared" si="53"/>
        <v>7.7193042233047904E-2</v>
      </c>
      <c r="L166" s="3"/>
      <c r="M166" s="7">
        <f t="shared" si="54"/>
        <v>21550.155706933328</v>
      </c>
      <c r="N166">
        <f t="shared" si="48"/>
        <v>0.24262349999999999</v>
      </c>
      <c r="AO166">
        <v>0.41515199999999997</v>
      </c>
    </row>
    <row r="167" spans="4:41" x14ac:dyDescent="0.45">
      <c r="D167" s="3" t="s">
        <v>1515</v>
      </c>
      <c r="E167" s="3" t="s">
        <v>1516</v>
      </c>
      <c r="F167" s="3" t="s">
        <v>1517</v>
      </c>
      <c r="G167" s="3">
        <f t="shared" si="47"/>
        <v>27.897379999994627</v>
      </c>
      <c r="H167" s="3">
        <f t="shared" si="49"/>
        <v>794.54792796666663</v>
      </c>
      <c r="I167" s="3">
        <f t="shared" si="50"/>
        <v>8.4893028633685308E-2</v>
      </c>
      <c r="J167" s="7">
        <f t="shared" si="53"/>
        <v>7.5514639064689817E-2</v>
      </c>
      <c r="L167" s="3"/>
      <c r="M167" s="7">
        <f t="shared" si="54"/>
        <v>22344.703634899994</v>
      </c>
      <c r="N167">
        <f t="shared" si="48"/>
        <v>0.1026165</v>
      </c>
      <c r="AO167">
        <v>0.665184</v>
      </c>
    </row>
    <row r="168" spans="4:41" hidden="1" x14ac:dyDescent="0.45">
      <c r="D168" s="3" t="s">
        <v>1545</v>
      </c>
      <c r="E168" s="3" t="s">
        <v>1546</v>
      </c>
      <c r="F168" s="3" t="s">
        <v>1547</v>
      </c>
      <c r="G168" s="3">
        <f t="shared" si="47"/>
        <v>28.584845000001181</v>
      </c>
      <c r="H168" s="3">
        <f t="shared" si="49"/>
        <v>449.17188498333331</v>
      </c>
      <c r="I168" s="3">
        <f t="shared" si="50"/>
        <v>9.1830992498392411E-2</v>
      </c>
      <c r="J168" s="7">
        <f t="shared" si="53"/>
        <v>0.13357915311691054</v>
      </c>
      <c r="L168" s="3"/>
      <c r="M168" s="7">
        <f t="shared" si="54"/>
        <v>22793.875519883328</v>
      </c>
      <c r="N168">
        <f t="shared" si="48"/>
        <v>0.41515199999999997</v>
      </c>
      <c r="AO168">
        <v>0</v>
      </c>
    </row>
    <row r="169" spans="4:41" hidden="1" x14ac:dyDescent="0.45">
      <c r="D169" s="3" t="s">
        <v>1561</v>
      </c>
      <c r="E169" s="3" t="s">
        <v>1562</v>
      </c>
      <c r="F169" s="3" t="s">
        <v>1563</v>
      </c>
      <c r="G169" s="3">
        <f t="shared" si="47"/>
        <v>30.334815000004689</v>
      </c>
      <c r="H169" s="3">
        <f t="shared" si="49"/>
        <v>1058.2041663</v>
      </c>
      <c r="I169" s="3">
        <f t="shared" si="50"/>
        <v>9.9223007566994925E-2</v>
      </c>
      <c r="J169" s="7">
        <f t="shared" si="53"/>
        <v>0.11339966692777138</v>
      </c>
      <c r="L169" s="3"/>
      <c r="M169" s="7">
        <f t="shared" si="54"/>
        <v>23852.07968618333</v>
      </c>
      <c r="N169">
        <f t="shared" si="48"/>
        <v>0.665184</v>
      </c>
      <c r="AO169">
        <v>0</v>
      </c>
    </row>
    <row r="170" spans="4:41" hidden="1" x14ac:dyDescent="0.45">
      <c r="D170" s="3"/>
      <c r="E170" s="3"/>
      <c r="F170" s="3"/>
      <c r="AO170">
        <v>0</v>
      </c>
    </row>
    <row r="171" spans="4:41" x14ac:dyDescent="0.45">
      <c r="D171" s="12" t="str">
        <f>("№"&amp;B8&amp;" - "&amp;A8)</f>
        <v>№7 - IVAN ERR15</v>
      </c>
      <c r="E171" s="12"/>
      <c r="F171" s="12"/>
      <c r="G171" s="13"/>
      <c r="H171" s="13"/>
      <c r="I171" s="13"/>
      <c r="J171" s="14"/>
      <c r="K171" s="13"/>
      <c r="L171" s="13"/>
      <c r="M171" s="14"/>
      <c r="N171" s="13"/>
      <c r="AO171">
        <v>0.57108199999999998</v>
      </c>
    </row>
    <row r="172" spans="4:41" x14ac:dyDescent="0.45">
      <c r="D172" s="12" t="s">
        <v>8</v>
      </c>
      <c r="E172" s="12" t="s">
        <v>9</v>
      </c>
      <c r="F172" s="12" t="s">
        <v>10</v>
      </c>
      <c r="G172" s="12" t="s">
        <v>346</v>
      </c>
      <c r="H172" s="12" t="s">
        <v>222</v>
      </c>
      <c r="I172" s="12" t="s">
        <v>223</v>
      </c>
      <c r="J172" s="12" t="s">
        <v>224</v>
      </c>
      <c r="K172" s="12" t="s">
        <v>225</v>
      </c>
      <c r="L172" s="12" t="s">
        <v>345</v>
      </c>
      <c r="M172" s="12" t="s">
        <v>344</v>
      </c>
      <c r="N172" s="12"/>
      <c r="AO172">
        <v>7.0955999999999991E-2</v>
      </c>
    </row>
    <row r="173" spans="4:41" x14ac:dyDescent="0.45">
      <c r="D173" s="2" t="s">
        <v>844</v>
      </c>
      <c r="E173" s="2" t="s">
        <v>845</v>
      </c>
      <c r="F173" s="1" t="s">
        <v>846</v>
      </c>
      <c r="G173" s="3">
        <f t="shared" ref="G173:G194" si="55">(DATEVALUE(LEFT(E173, 10))-DATEVALUE(LEFT(D173, 10))) * 86400 + (TIMEVALUE(MID(E173, 12, 8)) - TIMEVALUE(MID(D173, 12, 8))) * 86400 + (VALUE(RIGHT(E173, 6)) - VALUE(RIGHT(D173, 6))) / 1000000</f>
        <v>-0.57108500000055606</v>
      </c>
      <c r="H173" s="3"/>
      <c r="I173" s="3"/>
      <c r="J173" s="6"/>
      <c r="K173" s="3" cm="1">
        <f t="array" ref="K173">((LOOKUP(2,1/(G173:G194&lt;&gt;""),G173:G194) - G173)/SUM(H174:H194)) * 60</f>
        <v>0.11728172092747355</v>
      </c>
      <c r="L173" s="3">
        <f>((FLOOR(MAX(G173:G205), 1)-FLOOR(MIN(G173:G205), 1))/SUM(H174:H205)) * 60</f>
        <v>0.11824130995632089</v>
      </c>
      <c r="M173" s="6">
        <v>0</v>
      </c>
      <c r="N173">
        <f t="shared" ref="N173:N194" si="56">(MID(F173, 2, 7) + MID(F173, 12, 8)) / 2</f>
        <v>0.57108199999999998</v>
      </c>
      <c r="AO173">
        <v>3.9746500000000004E-2</v>
      </c>
    </row>
    <row r="174" spans="4:41" x14ac:dyDescent="0.45">
      <c r="D174" s="2" t="s">
        <v>866</v>
      </c>
      <c r="E174" s="2" t="s">
        <v>867</v>
      </c>
      <c r="F174" s="1" t="s">
        <v>868</v>
      </c>
      <c r="G174" s="3">
        <f t="shared" si="55"/>
        <v>0.92904200000000003</v>
      </c>
      <c r="H174" s="3">
        <f t="shared" ref="H174:H194" si="57">((DATEVALUE(LEFT(D174,10))-DATEVALUE(LEFT(D173,10)))*86400+(TIMEVALUE(MID(D174,12,8))-TIMEVALUE(MID(D173,12,8)))*86400+(VALUE(RIGHT(D174,6))-VALUE(RIGHT(D173,6)))/1000000)/ 60</f>
        <v>783.2083236166668</v>
      </c>
      <c r="I174" s="3">
        <f t="shared" ref="I174:I194" si="58">3600 * (G174-G173) / ((DATEVALUE(LEFT(D174, 10))-DATEVALUE(LEFT(D173, 10))) * 86400 + (TIMEVALUE(MID(D174, 12, 8)) - TIMEVALUE(MID(D173, 12, 8))) * 86400 + (VALUE(RIGHT(D174, 6)) - VALUE(RIGHT(D173, 6))) / 1000000)</f>
        <v>0.11492168467311471</v>
      </c>
      <c r="J174" s="7">
        <f t="shared" ref="J174:J194" si="59">(FLOOR(G174, 1) - FLOOR(G173, 1)) / H174 * 60</f>
        <v>7.6607970307228726E-2</v>
      </c>
      <c r="L174" s="3"/>
      <c r="M174" s="7">
        <f t="shared" ref="M174:M194" si="60">M173 + H174</f>
        <v>783.2083236166668</v>
      </c>
      <c r="N174">
        <f t="shared" si="56"/>
        <v>7.0955999999999991E-2</v>
      </c>
      <c r="AO174">
        <v>0.13335999999999998</v>
      </c>
    </row>
    <row r="175" spans="4:41" x14ac:dyDescent="0.45">
      <c r="D175" s="2" t="s">
        <v>881</v>
      </c>
      <c r="E175" s="2" t="s">
        <v>882</v>
      </c>
      <c r="F175" s="1" t="s">
        <v>883</v>
      </c>
      <c r="G175" s="3">
        <f t="shared" si="55"/>
        <v>1.9602509999969588</v>
      </c>
      <c r="H175" s="3">
        <f t="shared" si="57"/>
        <v>506.21614684999992</v>
      </c>
      <c r="I175" s="3">
        <f t="shared" si="58"/>
        <v>0.12222553623551517</v>
      </c>
      <c r="J175" s="7">
        <f t="shared" si="59"/>
        <v>0.11852644443160952</v>
      </c>
      <c r="K175" t="s">
        <v>340</v>
      </c>
      <c r="M175" s="7">
        <f t="shared" si="60"/>
        <v>1289.4244704666667</v>
      </c>
      <c r="N175">
        <f t="shared" si="56"/>
        <v>3.9746500000000004E-2</v>
      </c>
      <c r="AO175">
        <v>0.82053949999999998</v>
      </c>
    </row>
    <row r="176" spans="4:41" x14ac:dyDescent="0.45">
      <c r="D176" s="3" t="s">
        <v>920</v>
      </c>
      <c r="E176" s="3" t="s">
        <v>921</v>
      </c>
      <c r="F176" s="3" t="s">
        <v>922</v>
      </c>
      <c r="G176" s="3">
        <f t="shared" si="55"/>
        <v>5.8666390000039792</v>
      </c>
      <c r="H176" s="3">
        <f t="shared" si="57"/>
        <v>1404.5348964666666</v>
      </c>
      <c r="I176" s="3">
        <f t="shared" si="58"/>
        <v>0.16687608160541262</v>
      </c>
      <c r="J176" s="7">
        <f t="shared" si="59"/>
        <v>0.17087507088913104</v>
      </c>
      <c r="K176" s="3">
        <f>(MAX(G173:G194) / (DATEDIF(VALUE(DATE(2000 + MID(B17, 1, 2), MID(B17, 4, 2), MID(B17, 7, 2))), VALUE(DATEVALUE(MID(D173, 1, 10)) + TIMEVALUE(MID(D173, 12, 8)) + MID(D173, 21, 6) / 86400000), "d") * 1440 + (TIMEVALUE(MID(D173, 12, 8)) - TIMEVALUE(RIGHT(B17, 8))) * 1440 + MID(D173, 21, 6) / 86400000 + MAX(M173:M194))) * 60</f>
        <v>0.11499330729577556</v>
      </c>
      <c r="L176" s="3"/>
      <c r="M176" s="7">
        <f t="shared" si="60"/>
        <v>2693.9593669333335</v>
      </c>
      <c r="N176">
        <f t="shared" si="56"/>
        <v>0.13335999999999998</v>
      </c>
      <c r="AO176">
        <v>0.11778950000000001</v>
      </c>
    </row>
    <row r="177" spans="4:41" x14ac:dyDescent="0.45">
      <c r="D177" s="2" t="s">
        <v>925</v>
      </c>
      <c r="E177" s="2" t="s">
        <v>926</v>
      </c>
      <c r="F177" s="2" t="s">
        <v>927</v>
      </c>
      <c r="G177" s="3">
        <f t="shared" si="55"/>
        <v>7.179456999997897</v>
      </c>
      <c r="H177" s="3">
        <f t="shared" si="57"/>
        <v>1207.4114499</v>
      </c>
      <c r="I177" s="3">
        <f t="shared" si="58"/>
        <v>6.5237976669973483E-2</v>
      </c>
      <c r="J177" s="7">
        <f t="shared" si="59"/>
        <v>9.9386170314964814E-2</v>
      </c>
      <c r="K177" s="3"/>
      <c r="L177" s="3"/>
      <c r="M177" s="7">
        <f t="shared" si="60"/>
        <v>3901.3708168333333</v>
      </c>
      <c r="N177">
        <f t="shared" si="56"/>
        <v>0.82053949999999998</v>
      </c>
      <c r="AO177">
        <v>0.97697149999999999</v>
      </c>
    </row>
    <row r="178" spans="4:41" x14ac:dyDescent="0.45">
      <c r="D178" s="2" t="s">
        <v>956</v>
      </c>
      <c r="E178" s="2" t="s">
        <v>957</v>
      </c>
      <c r="F178" s="2" t="s">
        <v>958</v>
      </c>
      <c r="G178" s="3">
        <f t="shared" si="55"/>
        <v>7.8975430000002946</v>
      </c>
      <c r="H178" s="3">
        <f t="shared" si="57"/>
        <v>339.67136879999998</v>
      </c>
      <c r="I178" s="3">
        <f t="shared" si="58"/>
        <v>0.12684366113151146</v>
      </c>
      <c r="J178" s="7">
        <f t="shared" si="59"/>
        <v>0</v>
      </c>
      <c r="K178" s="8" t="s">
        <v>995</v>
      </c>
      <c r="L178" s="3"/>
      <c r="M178" s="7">
        <f t="shared" si="60"/>
        <v>4241.0421856333332</v>
      </c>
      <c r="N178">
        <f t="shared" si="56"/>
        <v>0.11778950000000001</v>
      </c>
      <c r="AO178">
        <v>0.53977350000000002</v>
      </c>
    </row>
    <row r="179" spans="4:41" x14ac:dyDescent="0.45">
      <c r="D179" s="2" t="s">
        <v>971</v>
      </c>
      <c r="E179" s="2" t="s">
        <v>972</v>
      </c>
      <c r="F179" s="2" t="s">
        <v>973</v>
      </c>
      <c r="G179" s="3">
        <f t="shared" si="55"/>
        <v>10.023027999998366</v>
      </c>
      <c r="H179" s="3">
        <f t="shared" si="57"/>
        <v>519.11456811666665</v>
      </c>
      <c r="I179" s="3">
        <f t="shared" si="58"/>
        <v>0.24566657888750132</v>
      </c>
      <c r="J179" s="7">
        <f t="shared" si="59"/>
        <v>0.34674426620897014</v>
      </c>
      <c r="K179">
        <f>_xlfn.STDEV.P(I174:I194)</f>
        <v>4.771559212953682E-2</v>
      </c>
      <c r="L179" s="3"/>
      <c r="M179" s="7">
        <f t="shared" si="60"/>
        <v>4760.1567537499996</v>
      </c>
      <c r="N179">
        <f t="shared" si="56"/>
        <v>0.97697149999999999</v>
      </c>
      <c r="AO179">
        <v>3.98535E-2</v>
      </c>
    </row>
    <row r="180" spans="4:41" x14ac:dyDescent="0.45">
      <c r="D180" s="3" t="s">
        <v>996</v>
      </c>
      <c r="E180" s="3" t="s">
        <v>997</v>
      </c>
      <c r="F180" s="2" t="s">
        <v>998</v>
      </c>
      <c r="G180" s="3">
        <f t="shared" si="55"/>
        <v>10.460225000007958</v>
      </c>
      <c r="H180" s="3">
        <f t="shared" si="57"/>
        <v>220.34272118333325</v>
      </c>
      <c r="I180" s="3">
        <f t="shared" si="58"/>
        <v>0.11905008642763226</v>
      </c>
      <c r="J180" s="7">
        <f t="shared" si="59"/>
        <v>0</v>
      </c>
      <c r="L180" s="3"/>
      <c r="M180" s="7">
        <f t="shared" si="60"/>
        <v>4980.4994749333327</v>
      </c>
      <c r="N180">
        <f t="shared" si="56"/>
        <v>0.53977350000000002</v>
      </c>
      <c r="AO180">
        <v>5.5313000000000001E-2</v>
      </c>
    </row>
    <row r="181" spans="4:41" x14ac:dyDescent="0.45">
      <c r="D181" s="3" t="s">
        <v>1041</v>
      </c>
      <c r="E181" s="3" t="s">
        <v>1042</v>
      </c>
      <c r="F181" s="2" t="s">
        <v>1043</v>
      </c>
      <c r="G181" s="3">
        <f t="shared" si="55"/>
        <v>9.9601440000002075</v>
      </c>
      <c r="H181" s="3">
        <f t="shared" si="57"/>
        <v>710.15833351666663</v>
      </c>
      <c r="I181" s="3">
        <f t="shared" si="58"/>
        <v>-4.2250944028048673E-2</v>
      </c>
      <c r="J181" s="7">
        <f t="shared" si="59"/>
        <v>-8.4488200966231233E-2</v>
      </c>
      <c r="L181" s="3"/>
      <c r="M181" s="7">
        <f t="shared" si="60"/>
        <v>5690.6578084499997</v>
      </c>
      <c r="N181">
        <f t="shared" si="56"/>
        <v>3.98535E-2</v>
      </c>
      <c r="AO181">
        <v>0.27440799999999999</v>
      </c>
    </row>
    <row r="182" spans="4:41" x14ac:dyDescent="0.45">
      <c r="D182" s="3" t="s">
        <v>1044</v>
      </c>
      <c r="E182" s="3" t="s">
        <v>1045</v>
      </c>
      <c r="F182" s="2" t="s">
        <v>1046</v>
      </c>
      <c r="G182" s="3">
        <f t="shared" si="55"/>
        <v>10.960317000003162</v>
      </c>
      <c r="H182" s="3">
        <f t="shared" si="57"/>
        <v>518.83332306666659</v>
      </c>
      <c r="I182" s="3">
        <f t="shared" si="58"/>
        <v>0.115664081955018</v>
      </c>
      <c r="J182" s="7">
        <f t="shared" si="59"/>
        <v>0.11564407552960973</v>
      </c>
      <c r="L182" s="3"/>
      <c r="M182" s="7">
        <f t="shared" si="60"/>
        <v>6209.4911315166664</v>
      </c>
      <c r="N182">
        <f t="shared" si="56"/>
        <v>5.5313000000000001E-2</v>
      </c>
      <c r="AO182">
        <v>7.0827500000000002E-2</v>
      </c>
    </row>
    <row r="183" spans="4:41" x14ac:dyDescent="0.45">
      <c r="D183" s="3" t="s">
        <v>1080</v>
      </c>
      <c r="E183" s="3" t="s">
        <v>1081</v>
      </c>
      <c r="F183" s="3" t="s">
        <v>1082</v>
      </c>
      <c r="G183" s="3">
        <f t="shared" si="55"/>
        <v>11.741363000004917</v>
      </c>
      <c r="H183" s="3">
        <f t="shared" si="57"/>
        <v>348.9536524666666</v>
      </c>
      <c r="I183" s="3">
        <f t="shared" si="58"/>
        <v>0.13429508379936447</v>
      </c>
      <c r="J183" s="7">
        <f t="shared" si="59"/>
        <v>0.17194260491579591</v>
      </c>
      <c r="L183" s="3"/>
      <c r="M183" s="7">
        <f t="shared" si="60"/>
        <v>6558.4447839833329</v>
      </c>
      <c r="N183">
        <f t="shared" si="56"/>
        <v>0.27440799999999999</v>
      </c>
      <c r="AO183">
        <v>0.82112549999999995</v>
      </c>
    </row>
    <row r="184" spans="4:41" x14ac:dyDescent="0.45">
      <c r="D184" s="3" t="s">
        <v>1113</v>
      </c>
      <c r="E184" s="3" t="s">
        <v>1114</v>
      </c>
      <c r="F184" s="3" t="s">
        <v>1115</v>
      </c>
      <c r="G184" s="3">
        <f t="shared" si="55"/>
        <v>12.929169000000078</v>
      </c>
      <c r="H184" s="3">
        <f t="shared" si="57"/>
        <v>585.31353551666666</v>
      </c>
      <c r="I184" s="3">
        <f t="shared" si="58"/>
        <v>0.12176099761096389</v>
      </c>
      <c r="J184" s="7">
        <f t="shared" si="59"/>
        <v>0.10250916194349911</v>
      </c>
      <c r="L184" s="3"/>
      <c r="M184" s="7">
        <f t="shared" si="60"/>
        <v>7143.7583194999997</v>
      </c>
      <c r="N184">
        <f t="shared" si="56"/>
        <v>7.0827500000000002E-2</v>
      </c>
      <c r="AO184">
        <v>0.21168599999999999</v>
      </c>
    </row>
    <row r="185" spans="4:41" x14ac:dyDescent="0.45">
      <c r="D185" s="3" t="s">
        <v>1119</v>
      </c>
      <c r="E185" s="3" t="s">
        <v>1120</v>
      </c>
      <c r="F185" s="3" t="s">
        <v>1121</v>
      </c>
      <c r="G185" s="3">
        <f t="shared" si="55"/>
        <v>14.178873000005385</v>
      </c>
      <c r="H185" s="3">
        <f t="shared" si="57"/>
        <v>647.14584741666658</v>
      </c>
      <c r="I185" s="3">
        <f t="shared" si="58"/>
        <v>0.11586606064094994</v>
      </c>
      <c r="J185" s="7">
        <f t="shared" si="59"/>
        <v>0.18542960675561235</v>
      </c>
      <c r="L185" s="3"/>
      <c r="M185" s="7">
        <f t="shared" si="60"/>
        <v>7790.9041669166663</v>
      </c>
      <c r="N185">
        <f t="shared" si="56"/>
        <v>0.82112549999999995</v>
      </c>
      <c r="AO185">
        <v>0.97755049999999999</v>
      </c>
    </row>
    <row r="186" spans="4:41" x14ac:dyDescent="0.45">
      <c r="D186" s="3" t="s">
        <v>1140</v>
      </c>
      <c r="E186" s="3" t="s">
        <v>1141</v>
      </c>
      <c r="F186" s="2" t="s">
        <v>1142</v>
      </c>
      <c r="G186" s="3">
        <f t="shared" si="55"/>
        <v>15.803827999999946</v>
      </c>
      <c r="H186" s="3">
        <f t="shared" si="57"/>
        <v>800.92291300000011</v>
      </c>
      <c r="I186" s="3">
        <f t="shared" si="58"/>
        <v>0.12173119087638541</v>
      </c>
      <c r="J186" s="7">
        <f t="shared" si="59"/>
        <v>7.4913576607840149E-2</v>
      </c>
      <c r="L186" s="3"/>
      <c r="M186" s="7">
        <f t="shared" si="60"/>
        <v>8591.8270799166658</v>
      </c>
      <c r="N186">
        <f t="shared" si="56"/>
        <v>0.21168599999999999</v>
      </c>
      <c r="AO186">
        <v>0.63383650000000002</v>
      </c>
    </row>
    <row r="187" spans="4:41" x14ac:dyDescent="0.45">
      <c r="D187" s="3" t="s">
        <v>1185</v>
      </c>
      <c r="E187" s="3" t="s">
        <v>1186</v>
      </c>
      <c r="F187" s="3" t="s">
        <v>1187</v>
      </c>
      <c r="G187" s="3">
        <f t="shared" si="55"/>
        <v>17.02244900000106</v>
      </c>
      <c r="H187" s="3">
        <f t="shared" si="57"/>
        <v>622.61302566666677</v>
      </c>
      <c r="I187" s="3">
        <f t="shared" si="58"/>
        <v>0.1174361232191956</v>
      </c>
      <c r="J187" s="7">
        <f t="shared" si="59"/>
        <v>0.19273608975897868</v>
      </c>
      <c r="L187" s="3"/>
      <c r="M187" s="7">
        <f t="shared" si="60"/>
        <v>9214.4401055833332</v>
      </c>
      <c r="N187">
        <f t="shared" si="56"/>
        <v>0.97755049999999999</v>
      </c>
      <c r="AO187">
        <v>0.711507</v>
      </c>
    </row>
    <row r="188" spans="4:41" x14ac:dyDescent="0.45">
      <c r="D188" s="3" t="s">
        <v>1191</v>
      </c>
      <c r="E188" s="3" t="s">
        <v>1192</v>
      </c>
      <c r="F188" s="3" t="s">
        <v>1193</v>
      </c>
      <c r="G188" s="3">
        <f t="shared" si="55"/>
        <v>17.366159999996263</v>
      </c>
      <c r="H188" s="3">
        <f t="shared" si="57"/>
        <v>158.67760173333343</v>
      </c>
      <c r="I188" s="3">
        <f t="shared" si="58"/>
        <v>0.12996579085162696</v>
      </c>
      <c r="J188" s="7">
        <f t="shared" si="59"/>
        <v>0</v>
      </c>
      <c r="L188" s="3"/>
      <c r="M188" s="7">
        <f t="shared" si="60"/>
        <v>9373.1177073166673</v>
      </c>
      <c r="N188">
        <f t="shared" si="56"/>
        <v>0.63383650000000002</v>
      </c>
      <c r="AO188">
        <v>0.89905999999999997</v>
      </c>
    </row>
    <row r="189" spans="4:41" x14ac:dyDescent="0.45">
      <c r="D189" s="3" t="s">
        <v>1224</v>
      </c>
      <c r="E189" s="3" t="s">
        <v>1225</v>
      </c>
      <c r="F189" s="3" t="s">
        <v>1226</v>
      </c>
      <c r="G189" s="3">
        <f t="shared" si="55"/>
        <v>21.303721000003282</v>
      </c>
      <c r="H189" s="3">
        <f t="shared" si="57"/>
        <v>1889.8510413166666</v>
      </c>
      <c r="I189" s="3">
        <f t="shared" si="58"/>
        <v>0.12501178920208561</v>
      </c>
      <c r="J189" s="7">
        <f t="shared" si="59"/>
        <v>0.12699413591496134</v>
      </c>
      <c r="L189" s="3"/>
      <c r="M189" s="7">
        <f t="shared" si="60"/>
        <v>11262.968748633333</v>
      </c>
      <c r="N189">
        <f t="shared" si="56"/>
        <v>0.711507</v>
      </c>
      <c r="AO189">
        <v>0.44701150000000001</v>
      </c>
    </row>
    <row r="190" spans="4:41" x14ac:dyDescent="0.45">
      <c r="D190" s="3" t="s">
        <v>1236</v>
      </c>
      <c r="E190" s="3" t="s">
        <v>1237</v>
      </c>
      <c r="F190" s="3" t="s">
        <v>1238</v>
      </c>
      <c r="G190" s="3">
        <f t="shared" si="55"/>
        <v>23.1161309999972</v>
      </c>
      <c r="H190" s="3">
        <f t="shared" si="57"/>
        <v>938.83645749999994</v>
      </c>
      <c r="I190" s="3">
        <f t="shared" si="58"/>
        <v>0.11582911925811644</v>
      </c>
      <c r="J190" s="7">
        <f t="shared" si="59"/>
        <v>0.12781778875475766</v>
      </c>
      <c r="L190" s="3"/>
      <c r="M190" s="7">
        <f t="shared" si="60"/>
        <v>12201.805206133333</v>
      </c>
      <c r="N190">
        <f t="shared" si="56"/>
        <v>0.89905999999999997</v>
      </c>
      <c r="AO190">
        <v>0.58674150000000003</v>
      </c>
    </row>
    <row r="191" spans="4:41" x14ac:dyDescent="0.45">
      <c r="D191" s="3" t="s">
        <v>1263</v>
      </c>
      <c r="E191" s="3" t="s">
        <v>1264</v>
      </c>
      <c r="F191" s="3" t="s">
        <v>1265</v>
      </c>
      <c r="G191" s="3">
        <f t="shared" si="55"/>
        <v>23.552983999997199</v>
      </c>
      <c r="H191" s="3">
        <f t="shared" si="57"/>
        <v>227.80939789999991</v>
      </c>
      <c r="I191" s="3">
        <f t="shared" si="58"/>
        <v>0.11505750088284644</v>
      </c>
      <c r="J191" s="7">
        <f t="shared" si="59"/>
        <v>0</v>
      </c>
      <c r="L191" s="3"/>
      <c r="M191" s="7">
        <f t="shared" si="60"/>
        <v>12429.614604033333</v>
      </c>
      <c r="N191">
        <f t="shared" si="56"/>
        <v>0.44701150000000001</v>
      </c>
      <c r="AO191">
        <v>0.2273715</v>
      </c>
    </row>
    <row r="192" spans="4:41" x14ac:dyDescent="0.45">
      <c r="D192" s="3" t="s">
        <v>1302</v>
      </c>
      <c r="E192" s="3" t="s">
        <v>1303</v>
      </c>
      <c r="F192" s="3" t="s">
        <v>1304</v>
      </c>
      <c r="G192" s="3">
        <f t="shared" si="55"/>
        <v>24.428233999999854</v>
      </c>
      <c r="H192" s="3">
        <f t="shared" si="57"/>
        <v>422.51872756666666</v>
      </c>
      <c r="I192" s="3">
        <f t="shared" si="58"/>
        <v>0.12429034874406433</v>
      </c>
      <c r="J192" s="7">
        <f t="shared" si="59"/>
        <v>0.14200553983854589</v>
      </c>
      <c r="L192" s="3"/>
      <c r="M192" s="7">
        <f t="shared" si="60"/>
        <v>12852.1333316</v>
      </c>
      <c r="N192">
        <f t="shared" si="56"/>
        <v>0.58674150000000003</v>
      </c>
      <c r="AO192">
        <v>0.1805765</v>
      </c>
    </row>
    <row r="193" spans="4:41" x14ac:dyDescent="0.45">
      <c r="D193" s="3" t="s">
        <v>1323</v>
      </c>
      <c r="E193" s="3" t="s">
        <v>1324</v>
      </c>
      <c r="F193" s="3" t="s">
        <v>1325</v>
      </c>
      <c r="G193" s="3">
        <f t="shared" si="55"/>
        <v>25.772628000000712</v>
      </c>
      <c r="H193" s="3">
        <f t="shared" si="57"/>
        <v>688.11093563333327</v>
      </c>
      <c r="I193" s="3">
        <f t="shared" si="58"/>
        <v>0.11722476104206817</v>
      </c>
      <c r="J193" s="7">
        <f t="shared" si="59"/>
        <v>8.7195242646124133E-2</v>
      </c>
      <c r="L193" s="3"/>
      <c r="M193" s="7">
        <f t="shared" si="60"/>
        <v>13540.244267233333</v>
      </c>
      <c r="N193">
        <f t="shared" si="56"/>
        <v>0.2273715</v>
      </c>
      <c r="AO193">
        <v>0.60176750000000001</v>
      </c>
    </row>
    <row r="194" spans="4:41" x14ac:dyDescent="0.45">
      <c r="D194" s="3" t="s">
        <v>1347</v>
      </c>
      <c r="E194" s="3" t="s">
        <v>1348</v>
      </c>
      <c r="F194" s="3" t="s">
        <v>1349</v>
      </c>
      <c r="G194" s="3">
        <f t="shared" si="55"/>
        <v>28.835306000001179</v>
      </c>
      <c r="H194" s="3">
        <f t="shared" si="57"/>
        <v>1503.7322880833335</v>
      </c>
      <c r="I194" s="3">
        <f t="shared" si="58"/>
        <v>0.12220305532858547</v>
      </c>
      <c r="J194" s="7">
        <f t="shared" si="59"/>
        <v>0.11970215804132869</v>
      </c>
      <c r="L194" s="3"/>
      <c r="M194" s="7">
        <f t="shared" si="60"/>
        <v>15043.976555316665</v>
      </c>
      <c r="N194">
        <f t="shared" si="56"/>
        <v>0.1805765</v>
      </c>
      <c r="AO194">
        <v>8.7305000000000004E-3</v>
      </c>
    </row>
    <row r="195" spans="4:41" x14ac:dyDescent="0.45">
      <c r="D195" s="3" t="s">
        <v>1374</v>
      </c>
      <c r="E195" s="3" t="s">
        <v>1375</v>
      </c>
      <c r="F195" s="3" t="s">
        <v>1376</v>
      </c>
      <c r="G195" s="3">
        <f t="shared" ref="G195:G203" si="61">(DATEVALUE(LEFT(E195, 10))-DATEVALUE(LEFT(D195, 10))) * 86400 + (TIMEVALUE(MID(E195, 12, 8)) - TIMEVALUE(MID(D195, 12, 8))) * 86400 + (VALUE(RIGHT(E195, 6)) - VALUE(RIGHT(D195, 6))) / 1000000</f>
        <v>30.398227999999893</v>
      </c>
      <c r="H195" s="3">
        <f t="shared" ref="H195:H203" si="62">((DATEVALUE(LEFT(D195,10))-DATEVALUE(LEFT(D194,10)))*86400+(TIMEVALUE(MID(D195,12,8))-TIMEVALUE(MID(D194,12,8)))*86400+(VALUE(RIGHT(D195,6))-VALUE(RIGHT(D194,6)))/1000000)/ 60</f>
        <v>1323.0906148833335</v>
      </c>
      <c r="I195" s="3">
        <f t="shared" ref="I195:I203" si="63">3600 * (G195-G194) / ((DATEVALUE(LEFT(D195, 10))-DATEVALUE(LEFT(D194, 10))) * 86400 + (TIMEVALUE(MID(D195, 12, 8)) - TIMEVALUE(MID(D194, 12, 8))) * 86400 + (VALUE(RIGHT(D195, 6)) - VALUE(RIGHT(D194, 6))) / 1000000)</f>
        <v>7.0875961891840422E-2</v>
      </c>
      <c r="J195" s="7">
        <f t="shared" ref="J195:J203" si="64">(FLOOR(G195, 1) - FLOOR(G194, 1)) / H195 * 60</f>
        <v>9.0696735847212745E-2</v>
      </c>
      <c r="L195" s="3"/>
      <c r="M195" s="7">
        <f t="shared" ref="M195:M203" si="65">M194 + H195</f>
        <v>16367.067170199998</v>
      </c>
      <c r="N195">
        <f t="shared" ref="N195:N203" si="66">(MID(F195, 2, 7) + MID(F195, 12, 8)) / 2</f>
        <v>0.60176750000000001</v>
      </c>
      <c r="AO195">
        <v>0.24255549999999998</v>
      </c>
    </row>
    <row r="196" spans="4:41" x14ac:dyDescent="0.45">
      <c r="D196" s="3" t="s">
        <v>1395</v>
      </c>
      <c r="E196" s="3" t="s">
        <v>1396</v>
      </c>
      <c r="F196" s="3" t="s">
        <v>1397</v>
      </c>
      <c r="G196" s="3">
        <f t="shared" si="61"/>
        <v>30.99126700000469</v>
      </c>
      <c r="H196" s="3">
        <f t="shared" si="62"/>
        <v>289.02345143333332</v>
      </c>
      <c r="I196" s="3">
        <f t="shared" si="63"/>
        <v>0.1231122935658919</v>
      </c>
      <c r="J196" s="7">
        <f t="shared" si="64"/>
        <v>0</v>
      </c>
      <c r="L196" s="3"/>
      <c r="M196" s="7">
        <f t="shared" si="65"/>
        <v>16656.090621633331</v>
      </c>
      <c r="N196">
        <f t="shared" si="66"/>
        <v>8.7305000000000004E-3</v>
      </c>
      <c r="AO196">
        <v>0.24274100000000001</v>
      </c>
    </row>
    <row r="197" spans="4:41" x14ac:dyDescent="0.45">
      <c r="D197" s="3" t="s">
        <v>1410</v>
      </c>
      <c r="E197" s="3" t="s">
        <v>1411</v>
      </c>
      <c r="F197" s="3" t="s">
        <v>1412</v>
      </c>
      <c r="G197" s="3">
        <f t="shared" si="61"/>
        <v>33.772975000005161</v>
      </c>
      <c r="H197" s="3">
        <f t="shared" si="62"/>
        <v>1377.1869642499998</v>
      </c>
      <c r="I197" s="3">
        <f t="shared" si="63"/>
        <v>0.12119086538908781</v>
      </c>
      <c r="J197" s="7">
        <f t="shared" si="64"/>
        <v>0.13070120809488342</v>
      </c>
      <c r="L197" s="3"/>
      <c r="M197" s="7">
        <f t="shared" si="65"/>
        <v>18033.27758588333</v>
      </c>
      <c r="N197">
        <f t="shared" si="66"/>
        <v>0.24255549999999998</v>
      </c>
      <c r="AO197">
        <v>8.1075000000000001E-3</v>
      </c>
    </row>
    <row r="198" spans="4:41" x14ac:dyDescent="0.45">
      <c r="D198" s="3" t="s">
        <v>1431</v>
      </c>
      <c r="E198" s="3" t="s">
        <v>1432</v>
      </c>
      <c r="F198" s="3" t="s">
        <v>1433</v>
      </c>
      <c r="G198" s="3">
        <f t="shared" si="61"/>
        <v>36.772462999996037</v>
      </c>
      <c r="H198" s="3">
        <f t="shared" si="62"/>
        <v>1367.3666873166667</v>
      </c>
      <c r="I198" s="3">
        <f t="shared" si="63"/>
        <v>0.13161742323313871</v>
      </c>
      <c r="J198" s="7">
        <f t="shared" si="64"/>
        <v>0.13163988977472729</v>
      </c>
      <c r="L198" s="3"/>
      <c r="M198" s="7">
        <f t="shared" si="65"/>
        <v>19400.644273199996</v>
      </c>
      <c r="N198">
        <f t="shared" si="66"/>
        <v>0.24274100000000001</v>
      </c>
      <c r="AO198">
        <v>0.66468450000000001</v>
      </c>
    </row>
    <row r="199" spans="4:41" x14ac:dyDescent="0.45">
      <c r="D199" s="3" t="s">
        <v>1464</v>
      </c>
      <c r="E199" s="3" t="s">
        <v>1465</v>
      </c>
      <c r="F199" s="3" t="s">
        <v>1466</v>
      </c>
      <c r="G199" s="3">
        <f t="shared" si="61"/>
        <v>37.991888000002589</v>
      </c>
      <c r="H199" s="3">
        <f t="shared" si="62"/>
        <v>582.56300464999981</v>
      </c>
      <c r="I199" s="3">
        <f t="shared" si="63"/>
        <v>0.12559242419513147</v>
      </c>
      <c r="J199" s="7">
        <f t="shared" si="64"/>
        <v>0.10299315184981171</v>
      </c>
      <c r="L199" s="3"/>
      <c r="M199" s="7">
        <f t="shared" si="65"/>
        <v>19983.207277849997</v>
      </c>
      <c r="N199">
        <f t="shared" si="66"/>
        <v>8.1075000000000001E-3</v>
      </c>
      <c r="AO199">
        <v>2.4431000000000001E-2</v>
      </c>
    </row>
    <row r="200" spans="4:41" x14ac:dyDescent="0.45">
      <c r="D200" s="3" t="s">
        <v>1494</v>
      </c>
      <c r="E200" s="3" t="s">
        <v>1495</v>
      </c>
      <c r="F200" s="3" t="s">
        <v>1496</v>
      </c>
      <c r="G200" s="3">
        <f t="shared" si="61"/>
        <v>41.335314000000011</v>
      </c>
      <c r="H200" s="3">
        <f t="shared" si="62"/>
        <v>1572.1109434166667</v>
      </c>
      <c r="I200" s="3">
        <f t="shared" si="63"/>
        <v>0.12760267386973945</v>
      </c>
      <c r="J200" s="7">
        <f t="shared" si="64"/>
        <v>0.15266098172334344</v>
      </c>
      <c r="L200" s="3"/>
      <c r="M200" s="7">
        <f t="shared" si="65"/>
        <v>21555.318221266665</v>
      </c>
      <c r="N200">
        <f t="shared" si="66"/>
        <v>0.66468450000000001</v>
      </c>
      <c r="AO200">
        <v>7.1475000000000011E-2</v>
      </c>
    </row>
    <row r="201" spans="4:41" x14ac:dyDescent="0.45">
      <c r="D201" s="3" t="s">
        <v>1509</v>
      </c>
      <c r="E201" s="3" t="s">
        <v>1510</v>
      </c>
      <c r="F201" s="3" t="s">
        <v>1511</v>
      </c>
      <c r="G201" s="3">
        <f t="shared" si="61"/>
        <v>42.991658000006566</v>
      </c>
      <c r="H201" s="3">
        <f t="shared" si="62"/>
        <v>780.45572893333338</v>
      </c>
      <c r="I201" s="3">
        <f t="shared" si="63"/>
        <v>0.12733667819469929</v>
      </c>
      <c r="J201" s="7">
        <f t="shared" si="64"/>
        <v>7.6878159485104125E-2</v>
      </c>
      <c r="L201" s="3"/>
      <c r="M201" s="7">
        <f t="shared" si="65"/>
        <v>22335.773950199997</v>
      </c>
      <c r="N201">
        <f t="shared" si="66"/>
        <v>2.4431000000000001E-2</v>
      </c>
      <c r="AO201">
        <v>0.53956300000000001</v>
      </c>
    </row>
    <row r="202" spans="4:41" hidden="1" x14ac:dyDescent="0.45">
      <c r="D202" s="3" t="s">
        <v>1524</v>
      </c>
      <c r="E202" s="3" t="s">
        <v>1525</v>
      </c>
      <c r="F202" s="3" t="s">
        <v>1541</v>
      </c>
      <c r="G202" s="3">
        <f t="shared" si="61"/>
        <v>43.928521999993933</v>
      </c>
      <c r="H202" s="3">
        <f t="shared" si="62"/>
        <v>431.30104761666678</v>
      </c>
      <c r="I202" s="3">
        <f t="shared" si="63"/>
        <v>0.13033086821806689</v>
      </c>
      <c r="J202" s="7">
        <f t="shared" si="64"/>
        <v>0.13911396768348913</v>
      </c>
      <c r="L202" s="3"/>
      <c r="M202" s="7">
        <f t="shared" si="65"/>
        <v>22767.074997816664</v>
      </c>
      <c r="N202">
        <f t="shared" si="66"/>
        <v>7.1475000000000011E-2</v>
      </c>
      <c r="AO202">
        <v>0</v>
      </c>
    </row>
    <row r="203" spans="4:41" hidden="1" x14ac:dyDescent="0.45">
      <c r="D203" s="3" t="s">
        <v>1564</v>
      </c>
      <c r="E203" s="3" t="s">
        <v>1565</v>
      </c>
      <c r="F203" s="3" t="s">
        <v>1566</v>
      </c>
      <c r="G203" s="3">
        <f t="shared" si="61"/>
        <v>46.460433000003995</v>
      </c>
      <c r="H203" s="3">
        <f t="shared" si="62"/>
        <v>1082.4578011833332</v>
      </c>
      <c r="I203" s="3">
        <f t="shared" si="63"/>
        <v>0.14034233928983833</v>
      </c>
      <c r="J203" s="7">
        <f t="shared" si="64"/>
        <v>0.16628823756752975</v>
      </c>
      <c r="L203" s="3"/>
      <c r="M203" s="7">
        <f t="shared" si="65"/>
        <v>23849.532798999997</v>
      </c>
      <c r="N203">
        <f t="shared" si="66"/>
        <v>0.53956300000000001</v>
      </c>
      <c r="AO203">
        <v>0</v>
      </c>
    </row>
    <row r="204" spans="4:41" hidden="1" x14ac:dyDescent="0.45">
      <c r="D204" s="3"/>
      <c r="E204" s="3"/>
      <c r="F204" s="3"/>
      <c r="M204" s="21"/>
      <c r="AO204">
        <v>0</v>
      </c>
    </row>
    <row r="205" spans="4:41" x14ac:dyDescent="0.45">
      <c r="D205" s="12" t="str">
        <f>("№"&amp;B9&amp;" - "&amp;A9)</f>
        <v>№8 - AIM TRAINING DEVICE</v>
      </c>
      <c r="E205" s="12"/>
      <c r="F205" s="12"/>
      <c r="G205" s="13"/>
      <c r="H205" s="13"/>
      <c r="I205" s="13"/>
      <c r="J205" s="14"/>
      <c r="K205" s="13"/>
      <c r="L205" s="13"/>
      <c r="M205" s="14"/>
      <c r="N205" s="13"/>
      <c r="AO205">
        <v>0.16474450000000002</v>
      </c>
    </row>
    <row r="206" spans="4:41" x14ac:dyDescent="0.45">
      <c r="D206" s="12" t="s">
        <v>8</v>
      </c>
      <c r="E206" s="12" t="s">
        <v>9</v>
      </c>
      <c r="F206" s="12" t="s">
        <v>10</v>
      </c>
      <c r="G206" s="12" t="s">
        <v>346</v>
      </c>
      <c r="H206" s="12" t="s">
        <v>222</v>
      </c>
      <c r="I206" s="12" t="s">
        <v>223</v>
      </c>
      <c r="J206" s="12" t="s">
        <v>224</v>
      </c>
      <c r="K206" s="12" t="s">
        <v>225</v>
      </c>
      <c r="L206" s="12" t="s">
        <v>345</v>
      </c>
      <c r="M206" s="12" t="s">
        <v>344</v>
      </c>
      <c r="N206" s="12"/>
      <c r="AO206">
        <v>0.89989600000000003</v>
      </c>
    </row>
    <row r="207" spans="4:41" x14ac:dyDescent="0.45">
      <c r="D207" s="2" t="s">
        <v>848</v>
      </c>
      <c r="E207" s="2" t="s">
        <v>849</v>
      </c>
      <c r="F207" s="1" t="s">
        <v>850</v>
      </c>
      <c r="G207" s="3">
        <f t="shared" ref="G207:G228" si="67">(DATEVALUE(LEFT(E207, 10))-DATEVALUE(LEFT(D207, 10))) * 86400 + (TIMEVALUE(MID(E207, 12, 8)) - TIMEVALUE(MID(D207, 12, 8))) * 86400 + (VALUE(RIGHT(E207, 6)) - VALUE(RIGHT(D207, 6))) / 1000000</f>
        <v>-0.16474799999935696</v>
      </c>
      <c r="H207" s="3"/>
      <c r="I207" s="3"/>
      <c r="J207" s="6"/>
      <c r="K207" s="3" cm="1">
        <f t="array" ref="K207">((LOOKUP(2,1/(G207:G228&lt;&gt;""),G207:G228) - G207)/SUM(H208:H228)) * 60</f>
        <v>2.631983984858529E-2</v>
      </c>
      <c r="L207" s="3">
        <f>((FLOOR(MAX(G207:G239), 1)-FLOOR(MIN(G207:G239), 1))/SUM(H208:H239)) * 60</f>
        <v>2.7684961741365824E-2</v>
      </c>
      <c r="M207" s="6">
        <v>0</v>
      </c>
      <c r="N207">
        <f t="shared" ref="N207:N228" si="68">(MID(F207, 2, 7) + MID(F207, 12, 8)) / 2</f>
        <v>0.16474450000000002</v>
      </c>
      <c r="AO207">
        <v>0.6334265</v>
      </c>
    </row>
    <row r="208" spans="4:41" x14ac:dyDescent="0.45">
      <c r="D208" s="2" t="s">
        <v>869</v>
      </c>
      <c r="E208" s="2" t="s">
        <v>870</v>
      </c>
      <c r="F208" s="1" t="s">
        <v>871</v>
      </c>
      <c r="G208" s="3">
        <f t="shared" si="67"/>
        <v>0.116407</v>
      </c>
      <c r="H208" s="3">
        <f t="shared" ref="H208:H228" si="69">((DATEVALUE(LEFT(D208,10))-DATEVALUE(LEFT(D207,10)))*86400+(TIMEVALUE(MID(D208,12,8))-TIMEVALUE(MID(D207,12,8)))*86400+(VALUE(RIGHT(D208,6))-VALUE(RIGHT(D207,6)))/1000000)/ 60</f>
        <v>780.02864776666672</v>
      </c>
      <c r="I208" s="3">
        <f t="shared" ref="I208:I228" si="70">3600 * (G208-G207) / ((DATEVALUE(LEFT(D208, 10))-DATEVALUE(LEFT(D207, 10))) * 86400 + (TIMEVALUE(MID(D208, 12, 8)) - TIMEVALUE(MID(D207, 12, 8))) * 86400 + (VALUE(RIGHT(D208, 6)) - VALUE(RIGHT(D207, 6))) / 1000000)</f>
        <v>2.1626513395707491E-2</v>
      </c>
      <c r="J208" s="7">
        <f>(FLOOR(G208, 1) - FLOOR(G207, 1)) / H208 * 60</f>
        <v>7.6920251803300504E-2</v>
      </c>
      <c r="L208" s="3"/>
      <c r="M208" s="7">
        <f t="shared" ref="M208:M228" si="71">M207 + H208</f>
        <v>780.02864776666672</v>
      </c>
      <c r="N208">
        <f t="shared" si="68"/>
        <v>0.89989600000000003</v>
      </c>
      <c r="AO208">
        <v>0.80507550000000005</v>
      </c>
    </row>
    <row r="209" spans="1:41" x14ac:dyDescent="0.45">
      <c r="D209" s="2" t="s">
        <v>887</v>
      </c>
      <c r="E209" s="2" t="s">
        <v>888</v>
      </c>
      <c r="F209" s="1" t="s">
        <v>889</v>
      </c>
      <c r="G209" s="3">
        <f t="shared" si="67"/>
        <v>0.36657000000000001</v>
      </c>
      <c r="H209" s="3">
        <f t="shared" si="69"/>
        <v>509.46248673333332</v>
      </c>
      <c r="I209" s="3">
        <f t="shared" si="70"/>
        <v>2.9461992572294204E-2</v>
      </c>
      <c r="J209" s="7">
        <f>(FLOOR(G209, 1) - FLOOR(G208, 1)) / H209 * 60</f>
        <v>0</v>
      </c>
      <c r="K209" t="s">
        <v>340</v>
      </c>
      <c r="M209" s="7">
        <f t="shared" si="71"/>
        <v>1289.4911345</v>
      </c>
      <c r="N209">
        <f t="shared" si="68"/>
        <v>0.6334265</v>
      </c>
      <c r="AO209">
        <v>0.28961350000000002</v>
      </c>
    </row>
    <row r="210" spans="1:41" x14ac:dyDescent="0.45">
      <c r="D210" s="3" t="s">
        <v>911</v>
      </c>
      <c r="E210" s="3" t="s">
        <v>912</v>
      </c>
      <c r="F210" s="3" t="s">
        <v>913</v>
      </c>
      <c r="G210" s="3">
        <f t="shared" si="67"/>
        <v>2.21038700000351</v>
      </c>
      <c r="H210" s="3">
        <f t="shared" si="69"/>
        <v>1360.4526089166668</v>
      </c>
      <c r="I210" s="3">
        <f t="shared" si="70"/>
        <v>8.1317805026890927E-2</v>
      </c>
      <c r="J210" s="7">
        <f t="shared" ref="J210:J228" si="72">(FLOOR(G244, 1) - FLOOR(G209, 1)) / H210 * 60</f>
        <v>-0.13230890868248224</v>
      </c>
      <c r="K210" s="3" t="s">
        <v>343</v>
      </c>
      <c r="L210" s="3"/>
      <c r="M210" s="7">
        <f t="shared" si="71"/>
        <v>2649.9437434166666</v>
      </c>
      <c r="N210">
        <f t="shared" si="68"/>
        <v>0.80507550000000005</v>
      </c>
      <c r="AO210">
        <v>0.11754000000000001</v>
      </c>
    </row>
    <row r="211" spans="1:41" x14ac:dyDescent="0.45">
      <c r="D211" s="2" t="s">
        <v>934</v>
      </c>
      <c r="E211" s="2" t="s">
        <v>935</v>
      </c>
      <c r="F211" s="2" t="s">
        <v>936</v>
      </c>
      <c r="G211" s="3">
        <f t="shared" si="67"/>
        <v>1.7103859999969588</v>
      </c>
      <c r="H211" s="3">
        <f t="shared" si="69"/>
        <v>1258.14166335</v>
      </c>
      <c r="I211" s="3">
        <f t="shared" si="70"/>
        <v>-2.3844739328092189E-2</v>
      </c>
      <c r="J211" s="7">
        <f t="shared" si="72"/>
        <v>-0.33382568293755088</v>
      </c>
      <c r="M211" s="7">
        <f t="shared" si="71"/>
        <v>3908.0854067666669</v>
      </c>
      <c r="N211">
        <f t="shared" si="68"/>
        <v>0.28961350000000002</v>
      </c>
      <c r="AO211">
        <v>0.74274799999999996</v>
      </c>
    </row>
    <row r="212" spans="1:41" x14ac:dyDescent="0.45">
      <c r="D212" s="2" t="s">
        <v>950</v>
      </c>
      <c r="E212" s="2" t="s">
        <v>951</v>
      </c>
      <c r="F212" s="2" t="s">
        <v>952</v>
      </c>
      <c r="G212" s="3">
        <f t="shared" si="67"/>
        <v>1.8974869999999564</v>
      </c>
      <c r="H212" s="3">
        <f t="shared" si="69"/>
        <v>321.04687775000002</v>
      </c>
      <c r="I212" s="3">
        <f t="shared" si="70"/>
        <v>3.4967043065036792E-2</v>
      </c>
      <c r="J212" s="7">
        <f t="shared" si="72"/>
        <v>-1.3082201669223366</v>
      </c>
      <c r="K212" s="8" t="s">
        <v>995</v>
      </c>
      <c r="M212" s="7">
        <f t="shared" si="71"/>
        <v>4229.1322845166669</v>
      </c>
      <c r="N212">
        <f t="shared" si="68"/>
        <v>0.11754000000000001</v>
      </c>
      <c r="AO212">
        <v>0.61779699999999993</v>
      </c>
    </row>
    <row r="213" spans="1:41" x14ac:dyDescent="0.45">
      <c r="D213" s="2" t="s">
        <v>982</v>
      </c>
      <c r="E213" s="2" t="s">
        <v>983</v>
      </c>
      <c r="F213" s="2" t="s">
        <v>984</v>
      </c>
      <c r="G213" s="3">
        <f t="shared" si="67"/>
        <v>3.2720630000004691</v>
      </c>
      <c r="H213" s="3">
        <f t="shared" si="69"/>
        <v>537.86043306666659</v>
      </c>
      <c r="I213" s="3">
        <f t="shared" si="70"/>
        <v>0.15333821736950154</v>
      </c>
      <c r="J213" s="7">
        <f t="shared" si="72"/>
        <v>-0.66931861477042087</v>
      </c>
      <c r="K213">
        <f>_xlfn.STDEV.P(I208:I228)</f>
        <v>4.8657638772331785E-2</v>
      </c>
      <c r="M213" s="7">
        <f t="shared" si="71"/>
        <v>4766.9927175833336</v>
      </c>
      <c r="N213">
        <f t="shared" si="68"/>
        <v>0.74274799999999996</v>
      </c>
      <c r="AO213">
        <v>0.195912</v>
      </c>
    </row>
    <row r="214" spans="1:41" x14ac:dyDescent="0.45">
      <c r="D214" s="3" t="s">
        <v>1010</v>
      </c>
      <c r="E214" s="3" t="s">
        <v>1011</v>
      </c>
      <c r="F214" s="2" t="s">
        <v>1012</v>
      </c>
      <c r="G214" s="3">
        <f t="shared" si="67"/>
        <v>3.3976280000004691</v>
      </c>
      <c r="H214" s="3">
        <f t="shared" si="69"/>
        <v>222.94790675000002</v>
      </c>
      <c r="I214" s="3">
        <f t="shared" si="70"/>
        <v>3.3792198858579307E-2</v>
      </c>
      <c r="J214" s="7">
        <f t="shared" si="72"/>
        <v>-2.4220904688982907</v>
      </c>
      <c r="M214" s="7">
        <f t="shared" si="71"/>
        <v>4989.9406243333333</v>
      </c>
      <c r="N214">
        <f t="shared" si="68"/>
        <v>0.61779699999999993</v>
      </c>
      <c r="AO214">
        <v>0.94595249999999997</v>
      </c>
    </row>
    <row r="215" spans="1:41" x14ac:dyDescent="0.45">
      <c r="D215" s="3" t="s">
        <v>1029</v>
      </c>
      <c r="E215" s="3" t="s">
        <v>1030</v>
      </c>
      <c r="F215" s="2" t="s">
        <v>1031</v>
      </c>
      <c r="G215" s="3">
        <f t="shared" si="67"/>
        <v>1.8040850000005562</v>
      </c>
      <c r="H215" s="3">
        <f t="shared" si="69"/>
        <v>687.40988483333342</v>
      </c>
      <c r="I215" s="3">
        <f t="shared" si="70"/>
        <v>-0.13909107522242953</v>
      </c>
      <c r="J215" s="7">
        <f t="shared" si="72"/>
        <v>-0.96012585003781392</v>
      </c>
      <c r="M215" s="7">
        <f t="shared" si="71"/>
        <v>5677.3505091666666</v>
      </c>
      <c r="N215">
        <f t="shared" si="68"/>
        <v>0.195912</v>
      </c>
      <c r="AO215">
        <v>0.69592150000000008</v>
      </c>
    </row>
    <row r="216" spans="1:41" x14ac:dyDescent="0.45">
      <c r="D216" s="3" t="s">
        <v>1056</v>
      </c>
      <c r="E216" s="3" t="s">
        <v>1057</v>
      </c>
      <c r="F216" s="2" t="s">
        <v>1058</v>
      </c>
      <c r="G216" s="3">
        <f t="shared" si="67"/>
        <v>2.0540460000035101</v>
      </c>
      <c r="H216" s="3">
        <f t="shared" si="69"/>
        <v>537.42917030000001</v>
      </c>
      <c r="I216" s="3">
        <f t="shared" si="70"/>
        <v>2.7906300642008972E-2</v>
      </c>
      <c r="J216" s="7">
        <f t="shared" si="72"/>
        <v>-1.116426188152519</v>
      </c>
      <c r="M216" s="7">
        <f t="shared" si="71"/>
        <v>6214.7796794666665</v>
      </c>
      <c r="N216">
        <f t="shared" si="68"/>
        <v>0.94595249999999997</v>
      </c>
      <c r="AO216">
        <v>0.36782700000000002</v>
      </c>
    </row>
    <row r="217" spans="1:41" x14ac:dyDescent="0.45">
      <c r="D217" s="3" t="s">
        <v>1086</v>
      </c>
      <c r="E217" s="3" t="s">
        <v>1087</v>
      </c>
      <c r="F217" s="3" t="s">
        <v>1088</v>
      </c>
      <c r="G217" s="3">
        <f t="shared" si="67"/>
        <v>2.3040749999939178</v>
      </c>
      <c r="H217" s="3">
        <f t="shared" si="69"/>
        <v>343.87916971666681</v>
      </c>
      <c r="I217" s="3">
        <f t="shared" si="70"/>
        <v>4.3625032629295006E-2</v>
      </c>
      <c r="J217" s="7">
        <f t="shared" si="72"/>
        <v>-1.9192787994218883</v>
      </c>
      <c r="M217" s="7">
        <f t="shared" si="71"/>
        <v>6558.6588491833336</v>
      </c>
      <c r="N217">
        <f t="shared" si="68"/>
        <v>0.69592150000000008</v>
      </c>
      <c r="AO217">
        <v>8.6661500000000002E-2</v>
      </c>
    </row>
    <row r="218" spans="1:41" x14ac:dyDescent="0.45">
      <c r="D218" s="3" t="s">
        <v>1098</v>
      </c>
      <c r="E218" s="3" t="s">
        <v>1099</v>
      </c>
      <c r="F218" s="2" t="s">
        <v>1100</v>
      </c>
      <c r="G218" s="3">
        <f t="shared" si="67"/>
        <v>2.6481429999999131</v>
      </c>
      <c r="H218" s="3">
        <f t="shared" si="69"/>
        <v>570.26092789999996</v>
      </c>
      <c r="I218" s="3">
        <f t="shared" si="70"/>
        <v>3.6201112491402933E-2</v>
      </c>
      <c r="J218" s="7">
        <f t="shared" si="72"/>
        <v>-1.2625799257392891</v>
      </c>
      <c r="M218" s="7">
        <f t="shared" si="71"/>
        <v>7128.9197770833334</v>
      </c>
      <c r="N218">
        <f t="shared" si="68"/>
        <v>0.36782700000000002</v>
      </c>
      <c r="AO218">
        <v>0.71153549999999999</v>
      </c>
    </row>
    <row r="219" spans="1:41" x14ac:dyDescent="0.45">
      <c r="D219" s="3" t="s">
        <v>1134</v>
      </c>
      <c r="E219" s="3" t="s">
        <v>1135</v>
      </c>
      <c r="F219" s="2" t="s">
        <v>1136</v>
      </c>
      <c r="G219" s="3">
        <f t="shared" si="67"/>
        <v>2.9293549999939179</v>
      </c>
      <c r="H219" s="3">
        <f t="shared" si="69"/>
        <v>668.0119825999999</v>
      </c>
      <c r="I219" s="3">
        <f t="shared" si="70"/>
        <v>2.5258109793134555E-2</v>
      </c>
      <c r="J219" s="7">
        <f t="shared" si="72"/>
        <v>-1.1676437254375684</v>
      </c>
      <c r="M219" s="7">
        <f t="shared" si="71"/>
        <v>7796.9317596833334</v>
      </c>
      <c r="N219">
        <f t="shared" si="68"/>
        <v>8.6661500000000002E-2</v>
      </c>
      <c r="AO219">
        <v>0.47712599999999999</v>
      </c>
    </row>
    <row r="220" spans="1:41" x14ac:dyDescent="0.45">
      <c r="A220" s="2"/>
      <c r="B220" s="2"/>
      <c r="C220" s="1"/>
      <c r="D220" s="3" t="s">
        <v>1155</v>
      </c>
      <c r="E220" s="3" t="s">
        <v>1156</v>
      </c>
      <c r="F220" s="3" t="s">
        <v>1157</v>
      </c>
      <c r="G220" s="3">
        <f t="shared" si="67"/>
        <v>3.3039209999992698</v>
      </c>
      <c r="H220" s="3">
        <f t="shared" si="69"/>
        <v>805.67709449999995</v>
      </c>
      <c r="I220" s="3">
        <f t="shared" si="70"/>
        <v>2.7894500357203738E-2</v>
      </c>
      <c r="J220" s="7">
        <f t="shared" si="72"/>
        <v>-0.96812979458484538</v>
      </c>
      <c r="M220" s="7">
        <f t="shared" si="71"/>
        <v>8602.6088541833342</v>
      </c>
      <c r="N220">
        <f t="shared" si="68"/>
        <v>0.71153549999999999</v>
      </c>
      <c r="AO220">
        <v>0.38366400000000001</v>
      </c>
    </row>
    <row r="221" spans="1:41" x14ac:dyDescent="0.45">
      <c r="A221" s="2"/>
      <c r="B221" s="2"/>
      <c r="C221" s="1"/>
      <c r="D221" s="3" t="s">
        <v>1173</v>
      </c>
      <c r="E221" s="3" t="s">
        <v>1174</v>
      </c>
      <c r="F221" s="2" t="s">
        <v>1175</v>
      </c>
      <c r="G221" s="3">
        <f t="shared" si="67"/>
        <v>3.522869000000469</v>
      </c>
      <c r="H221" s="3">
        <f t="shared" si="69"/>
        <v>595.37967919999994</v>
      </c>
      <c r="I221" s="3">
        <f t="shared" si="70"/>
        <v>2.2064710064884512E-2</v>
      </c>
      <c r="J221" s="7">
        <f t="shared" si="72"/>
        <v>-1.5116404396087426</v>
      </c>
      <c r="M221" s="7">
        <f t="shared" si="71"/>
        <v>9197.9885333833336</v>
      </c>
      <c r="N221">
        <f t="shared" si="68"/>
        <v>0.47712599999999999</v>
      </c>
      <c r="AO221">
        <v>0.39901549999999997</v>
      </c>
    </row>
    <row r="222" spans="1:41" x14ac:dyDescent="0.45">
      <c r="A222" s="2"/>
      <c r="B222" s="2"/>
      <c r="C222" s="1"/>
      <c r="D222" s="3" t="s">
        <v>1188</v>
      </c>
      <c r="E222" s="3" t="s">
        <v>1189</v>
      </c>
      <c r="F222" s="2" t="s">
        <v>1190</v>
      </c>
      <c r="G222" s="3">
        <f t="shared" si="67"/>
        <v>3.616333000000469</v>
      </c>
      <c r="H222" s="3">
        <f t="shared" si="69"/>
        <v>167.04844476666665</v>
      </c>
      <c r="I222" s="3">
        <f t="shared" si="70"/>
        <v>3.3570141929983449E-2</v>
      </c>
      <c r="J222" s="7">
        <f t="shared" si="72"/>
        <v>-5.3876586594812093</v>
      </c>
      <c r="M222" s="7">
        <f t="shared" si="71"/>
        <v>9365.0369781499994</v>
      </c>
      <c r="N222">
        <f t="shared" si="68"/>
        <v>0.38366400000000001</v>
      </c>
      <c r="AO222">
        <v>0.99255450000000001</v>
      </c>
    </row>
    <row r="223" spans="1:41" x14ac:dyDescent="0.45">
      <c r="A223" s="2"/>
      <c r="B223" s="2"/>
      <c r="C223" s="1"/>
      <c r="D223" s="3" t="s">
        <v>1215</v>
      </c>
      <c r="E223" s="3" t="s">
        <v>1216</v>
      </c>
      <c r="F223" s="2" t="s">
        <v>1217</v>
      </c>
      <c r="G223" s="3">
        <f t="shared" si="67"/>
        <v>4.6164820000070197</v>
      </c>
      <c r="H223" s="3">
        <f t="shared" si="69"/>
        <v>1886.8499977500001</v>
      </c>
      <c r="I223" s="3">
        <f t="shared" si="70"/>
        <v>3.18037682232035E-2</v>
      </c>
      <c r="J223" s="7">
        <f t="shared" si="72"/>
        <v>-0.54058351284750394</v>
      </c>
      <c r="M223" s="7">
        <f t="shared" si="71"/>
        <v>11251.886975899999</v>
      </c>
      <c r="N223">
        <f t="shared" si="68"/>
        <v>0.39901549999999997</v>
      </c>
      <c r="AO223">
        <v>0.89892550000000004</v>
      </c>
    </row>
    <row r="224" spans="1:41" x14ac:dyDescent="0.45">
      <c r="A224" s="2"/>
      <c r="B224" s="2"/>
      <c r="C224" s="1"/>
      <c r="D224" s="3" t="s">
        <v>1257</v>
      </c>
      <c r="E224" s="3" t="s">
        <v>1258</v>
      </c>
      <c r="F224" s="3" t="s">
        <v>1259</v>
      </c>
      <c r="G224" s="3">
        <f t="shared" si="67"/>
        <v>5.0225310000039789</v>
      </c>
      <c r="H224" s="3">
        <f t="shared" si="69"/>
        <v>961.45990275000008</v>
      </c>
      <c r="I224" s="3">
        <f t="shared" si="70"/>
        <v>2.5339527868124139E-2</v>
      </c>
      <c r="J224" s="7">
        <f t="shared" si="72"/>
        <v>-1.1856968727862012</v>
      </c>
      <c r="M224" s="7">
        <f t="shared" si="71"/>
        <v>12213.34687865</v>
      </c>
      <c r="N224">
        <f t="shared" si="68"/>
        <v>0.99255450000000001</v>
      </c>
      <c r="AO224">
        <v>0.66480850000000002</v>
      </c>
    </row>
    <row r="225" spans="1:41" x14ac:dyDescent="0.45">
      <c r="A225" s="2"/>
      <c r="B225" s="2"/>
      <c r="C225" s="1"/>
      <c r="D225" s="3" t="s">
        <v>1278</v>
      </c>
      <c r="E225" s="3" t="s">
        <v>1279</v>
      </c>
      <c r="F225" s="3" t="s">
        <v>1280</v>
      </c>
      <c r="G225" s="3">
        <f t="shared" si="67"/>
        <v>5.1165270000039786</v>
      </c>
      <c r="H225" s="3">
        <f t="shared" si="69"/>
        <v>222.4650958666667</v>
      </c>
      <c r="I225" s="3">
        <f t="shared" si="70"/>
        <v>2.5351212863433399E-2</v>
      </c>
      <c r="J225" s="7">
        <f t="shared" si="72"/>
        <v>-5.3941046136928099</v>
      </c>
      <c r="M225" s="7">
        <f t="shared" si="71"/>
        <v>12435.811974516666</v>
      </c>
      <c r="N225">
        <f t="shared" si="68"/>
        <v>0.89892550000000004</v>
      </c>
      <c r="AO225">
        <v>0.32113000000000003</v>
      </c>
    </row>
    <row r="226" spans="1:41" x14ac:dyDescent="0.45">
      <c r="D226" s="3" t="s">
        <v>1305</v>
      </c>
      <c r="E226" s="3" t="s">
        <v>1306</v>
      </c>
      <c r="F226" s="3" t="s">
        <v>1307</v>
      </c>
      <c r="G226" s="3">
        <f t="shared" si="67"/>
        <v>5.3351869999997827</v>
      </c>
      <c r="H226" s="3">
        <f t="shared" si="69"/>
        <v>415.67968519999999</v>
      </c>
      <c r="I226" s="3">
        <f t="shared" si="70"/>
        <v>3.1561802192560565E-2</v>
      </c>
      <c r="J226" s="7">
        <f t="shared" si="72"/>
        <v>-3.0311801246523844</v>
      </c>
      <c r="M226" s="7">
        <f t="shared" si="71"/>
        <v>12851.491659716667</v>
      </c>
      <c r="N226">
        <f t="shared" si="68"/>
        <v>0.66480850000000002</v>
      </c>
      <c r="AO226">
        <v>0.5866595</v>
      </c>
    </row>
    <row r="227" spans="1:41" x14ac:dyDescent="0.45">
      <c r="D227" s="3" t="s">
        <v>1320</v>
      </c>
      <c r="E227" s="3" t="s">
        <v>1321</v>
      </c>
      <c r="F227" s="3" t="s">
        <v>1322</v>
      </c>
      <c r="G227" s="3">
        <f t="shared" si="67"/>
        <v>5.6788689999991826</v>
      </c>
      <c r="H227" s="3">
        <f t="shared" si="69"/>
        <v>681.02760923333335</v>
      </c>
      <c r="I227" s="3">
        <f t="shared" si="70"/>
        <v>3.0279124840735881E-2</v>
      </c>
      <c r="J227" s="7">
        <f t="shared" si="72"/>
        <v>-1.9382474103891174</v>
      </c>
      <c r="M227" s="7">
        <f t="shared" si="71"/>
        <v>13532.51926895</v>
      </c>
      <c r="N227">
        <f t="shared" si="68"/>
        <v>0.32113000000000003</v>
      </c>
      <c r="AO227">
        <v>7.1025000000000005E-2</v>
      </c>
    </row>
    <row r="228" spans="1:41" x14ac:dyDescent="0.45">
      <c r="D228" s="3" t="s">
        <v>1338</v>
      </c>
      <c r="E228" s="3" t="s">
        <v>1339</v>
      </c>
      <c r="F228" s="3" t="s">
        <v>1340</v>
      </c>
      <c r="G228" s="3">
        <f t="shared" si="67"/>
        <v>6.4292010000009379</v>
      </c>
      <c r="H228" s="3">
        <f t="shared" si="69"/>
        <v>1499.3708290166667</v>
      </c>
      <c r="I228" s="3">
        <f t="shared" si="70"/>
        <v>3.0025874272631242E-2</v>
      </c>
      <c r="J228" s="7">
        <f t="shared" si="72"/>
        <v>-0.92038605346553681</v>
      </c>
      <c r="M228" s="7">
        <f t="shared" si="71"/>
        <v>15031.890097966667</v>
      </c>
      <c r="N228">
        <f t="shared" si="68"/>
        <v>0.5866595</v>
      </c>
      <c r="AO228">
        <v>0.96229199999999993</v>
      </c>
    </row>
    <row r="229" spans="1:41" x14ac:dyDescent="0.45">
      <c r="D229" s="3" t="s">
        <v>1377</v>
      </c>
      <c r="E229" s="3" t="s">
        <v>1378</v>
      </c>
      <c r="F229" s="3" t="s">
        <v>1379</v>
      </c>
      <c r="G229" s="3">
        <f t="shared" ref="G229:G237" si="73">(DATEVALUE(LEFT(E229, 10))-DATEVALUE(LEFT(D229, 10))) * 86400 + (TIMEVALUE(MID(E229, 12, 8)) - TIMEVALUE(MID(D229, 12, 8))) * 86400 + (VALUE(RIGHT(E229, 6)) - VALUE(RIGHT(D229, 6))) / 1000000</f>
        <v>5.9289729999991829</v>
      </c>
      <c r="H229" s="3">
        <f t="shared" ref="H229:H237" si="74">((DATEVALUE(LEFT(D229,10))-DATEVALUE(LEFT(D228,10)))*86400+(TIMEVALUE(MID(D229,12,8))-TIMEVALUE(MID(D228,12,8)))*86400+(VALUE(RIGHT(D229,6))-VALUE(RIGHT(D228,6)))/1000000)/ 60</f>
        <v>1331.5750033500001</v>
      </c>
      <c r="I229" s="3">
        <f t="shared" ref="I229:I237" si="75">3600 * (G229-G228) / ((DATEVALUE(LEFT(D229, 10))-DATEVALUE(LEFT(D228, 10))) * 86400 + (TIMEVALUE(MID(D229, 12, 8)) - TIMEVALUE(MID(D228, 12, 8))) * 86400 + (VALUE(RIGHT(D229, 6)) - VALUE(RIGHT(D228, 6))) / 1000000)</f>
        <v>-2.2539984548070026E-2</v>
      </c>
      <c r="J229" s="7">
        <f t="shared" ref="J229:J237" si="76">(FLOOR(G263, 1) - FLOOR(G228, 1)) / H229 * 60</f>
        <v>-1.2166043939878528</v>
      </c>
      <c r="M229" s="7">
        <f t="shared" ref="M229:M237" si="77">M228 + H229</f>
        <v>16363.465101316668</v>
      </c>
      <c r="N229">
        <f t="shared" ref="N229:N237" si="78">(MID(F229, 2, 7) + MID(F229, 12, 8)) / 2</f>
        <v>7.1025000000000005E-2</v>
      </c>
      <c r="AO229">
        <v>0.35228300000000001</v>
      </c>
    </row>
    <row r="230" spans="1:41" x14ac:dyDescent="0.45">
      <c r="D230" s="3" t="s">
        <v>1380</v>
      </c>
      <c r="E230" s="3" t="s">
        <v>1381</v>
      </c>
      <c r="F230" s="3" t="s">
        <v>1382</v>
      </c>
      <c r="G230" s="3">
        <f t="shared" si="73"/>
        <v>6.0538660000009381</v>
      </c>
      <c r="H230" s="3">
        <f t="shared" si="74"/>
        <v>276.68125448333336</v>
      </c>
      <c r="I230" s="3">
        <f t="shared" si="75"/>
        <v>2.7083800867169727E-2</v>
      </c>
      <c r="J230" s="7">
        <f t="shared" si="76"/>
        <v>-5.6382569282226918</v>
      </c>
      <c r="M230" s="7">
        <f t="shared" si="77"/>
        <v>16640.1463558</v>
      </c>
      <c r="N230">
        <f t="shared" si="78"/>
        <v>0.96229199999999993</v>
      </c>
      <c r="AO230">
        <v>0.38369200000000003</v>
      </c>
    </row>
    <row r="231" spans="1:41" x14ac:dyDescent="0.45">
      <c r="D231" s="3" t="s">
        <v>1404</v>
      </c>
      <c r="E231" s="3" t="s">
        <v>1405</v>
      </c>
      <c r="F231" s="3" t="s">
        <v>1406</v>
      </c>
      <c r="G231" s="3">
        <f t="shared" si="73"/>
        <v>6.647717000000938</v>
      </c>
      <c r="H231" s="3">
        <f t="shared" si="74"/>
        <v>1380.6901039500001</v>
      </c>
      <c r="I231" s="3">
        <f t="shared" si="75"/>
        <v>2.5806703400034169E-2</v>
      </c>
      <c r="J231" s="7">
        <f t="shared" si="76"/>
        <v>-1.2167828212816965</v>
      </c>
      <c r="M231" s="7">
        <f t="shared" si="77"/>
        <v>18020.83645975</v>
      </c>
      <c r="N231">
        <f t="shared" si="78"/>
        <v>0.35228300000000001</v>
      </c>
      <c r="AO231">
        <v>5.5823999999999999E-2</v>
      </c>
    </row>
    <row r="232" spans="1:41" x14ac:dyDescent="0.45">
      <c r="D232" s="3" t="s">
        <v>1428</v>
      </c>
      <c r="E232" s="3" t="s">
        <v>1429</v>
      </c>
      <c r="F232" s="3" t="s">
        <v>1430</v>
      </c>
      <c r="G232" s="3">
        <f t="shared" si="73"/>
        <v>7.6163050000074888</v>
      </c>
      <c r="H232" s="3">
        <f t="shared" si="74"/>
        <v>1372.2171832499998</v>
      </c>
      <c r="I232" s="3">
        <f t="shared" si="75"/>
        <v>4.2351371714170707E-2</v>
      </c>
      <c r="J232" s="7">
        <f t="shared" si="76"/>
        <v>-1.2680208506636919</v>
      </c>
      <c r="M232" s="7">
        <f t="shared" si="77"/>
        <v>19393.053642999999</v>
      </c>
      <c r="N232">
        <f t="shared" si="78"/>
        <v>0.38369200000000003</v>
      </c>
      <c r="AO232">
        <v>0.11786949999999999</v>
      </c>
    </row>
    <row r="233" spans="1:41" x14ac:dyDescent="0.45">
      <c r="D233" s="3" t="s">
        <v>1461</v>
      </c>
      <c r="E233" s="3" t="s">
        <v>1462</v>
      </c>
      <c r="F233" s="3" t="s">
        <v>1463</v>
      </c>
      <c r="G233" s="3">
        <f t="shared" si="73"/>
        <v>7.9602119999978971</v>
      </c>
      <c r="H233" s="3">
        <f t="shared" si="74"/>
        <v>583.2442680833334</v>
      </c>
      <c r="I233" s="3">
        <f t="shared" si="75"/>
        <v>3.5378693162701209E-2</v>
      </c>
      <c r="J233" s="7">
        <f t="shared" si="76"/>
        <v>-3.1890583444777976</v>
      </c>
      <c r="M233" s="7">
        <f t="shared" si="77"/>
        <v>19976.297911083333</v>
      </c>
      <c r="N233">
        <f t="shared" si="78"/>
        <v>5.5823999999999999E-2</v>
      </c>
      <c r="AO233">
        <v>0.6804920000000001</v>
      </c>
    </row>
    <row r="234" spans="1:41" x14ac:dyDescent="0.45">
      <c r="D234" s="3" t="s">
        <v>1497</v>
      </c>
      <c r="E234" s="3" t="s">
        <v>1498</v>
      </c>
      <c r="F234" s="3" t="s">
        <v>1499</v>
      </c>
      <c r="G234" s="3">
        <f t="shared" si="73"/>
        <v>8.8978179999996527</v>
      </c>
      <c r="H234" s="3">
        <f t="shared" si="74"/>
        <v>1576.3343734</v>
      </c>
      <c r="I234" s="3">
        <f t="shared" si="75"/>
        <v>3.5688088104534471E-2</v>
      </c>
      <c r="J234" s="7">
        <f t="shared" si="76"/>
        <v>-1.2180156903251096</v>
      </c>
      <c r="M234" s="7">
        <f t="shared" si="77"/>
        <v>21552.632284483334</v>
      </c>
      <c r="N234">
        <f t="shared" si="78"/>
        <v>0.11786949999999999</v>
      </c>
      <c r="AO234">
        <v>0.4486465</v>
      </c>
    </row>
    <row r="235" spans="1:41" x14ac:dyDescent="0.45">
      <c r="D235" s="3" t="s">
        <v>1512</v>
      </c>
      <c r="E235" s="3" t="s">
        <v>1513</v>
      </c>
      <c r="F235" s="3" t="s">
        <v>1514</v>
      </c>
      <c r="G235" s="3">
        <f t="shared" si="73"/>
        <v>9.3353540000014075</v>
      </c>
      <c r="H235" s="3">
        <f t="shared" si="74"/>
        <v>779.84270531666664</v>
      </c>
      <c r="I235" s="3">
        <f t="shared" si="75"/>
        <v>3.3663403941754134E-2</v>
      </c>
      <c r="J235" s="7">
        <f t="shared" si="76"/>
        <v>-2.6159121398354657</v>
      </c>
      <c r="M235" s="7">
        <f t="shared" si="77"/>
        <v>22332.474989800001</v>
      </c>
      <c r="N235">
        <f t="shared" si="78"/>
        <v>0.6804920000000001</v>
      </c>
      <c r="AO235">
        <v>0.60233350000000008</v>
      </c>
    </row>
    <row r="236" spans="1:41" hidden="1" x14ac:dyDescent="0.45">
      <c r="D236" s="3" t="s">
        <v>1526</v>
      </c>
      <c r="E236" s="3" t="s">
        <v>1527</v>
      </c>
      <c r="F236" s="3" t="s">
        <v>1528</v>
      </c>
      <c r="G236" s="3">
        <f t="shared" si="73"/>
        <v>9.5513509999918149</v>
      </c>
      <c r="H236" s="3">
        <f t="shared" si="74"/>
        <v>431.64636518333333</v>
      </c>
      <c r="I236" s="3">
        <f t="shared" si="75"/>
        <v>3.002416108362228E-2</v>
      </c>
      <c r="J236" s="7">
        <f t="shared" si="76"/>
        <v>-5.0040963488307897</v>
      </c>
      <c r="M236" s="7">
        <f t="shared" si="77"/>
        <v>22764.121354983334</v>
      </c>
      <c r="N236">
        <f t="shared" si="78"/>
        <v>0.4486465</v>
      </c>
      <c r="AO236">
        <v>0</v>
      </c>
    </row>
    <row r="237" spans="1:41" hidden="1" x14ac:dyDescent="0.45">
      <c r="D237" s="3" t="s">
        <v>1558</v>
      </c>
      <c r="E237" s="3" t="s">
        <v>1559</v>
      </c>
      <c r="F237" s="3" t="s">
        <v>1560</v>
      </c>
      <c r="G237" s="3">
        <f t="shared" si="73"/>
        <v>10.397663999998366</v>
      </c>
      <c r="H237" s="3">
        <f t="shared" si="74"/>
        <v>1075.5359349833334</v>
      </c>
      <c r="I237" s="3">
        <f t="shared" si="75"/>
        <v>4.7212536883930303E-2</v>
      </c>
      <c r="J237" s="7">
        <f t="shared" si="76"/>
        <v>-2.0640872404085702</v>
      </c>
      <c r="M237" s="7">
        <f t="shared" si="77"/>
        <v>23839.657289966668</v>
      </c>
      <c r="N237">
        <f t="shared" si="78"/>
        <v>0.60233350000000008</v>
      </c>
      <c r="AO237">
        <v>0</v>
      </c>
    </row>
    <row r="238" spans="1:41" hidden="1" x14ac:dyDescent="0.45">
      <c r="D238" s="3"/>
      <c r="E238" s="3"/>
      <c r="F238" s="3"/>
      <c r="AO238">
        <v>0</v>
      </c>
    </row>
    <row r="239" spans="1:41" x14ac:dyDescent="0.45">
      <c r="D239" s="13" t="str">
        <f>("№"&amp;B2&amp;" - "&amp;A2)</f>
        <v>№1 - Nothing</v>
      </c>
      <c r="E239" s="15"/>
      <c r="F239" s="13"/>
      <c r="G239" s="13"/>
      <c r="H239" s="13"/>
      <c r="I239" s="13"/>
      <c r="J239" s="14"/>
      <c r="K239" s="13"/>
      <c r="L239" s="13"/>
      <c r="M239" s="14"/>
      <c r="N239" s="13"/>
      <c r="AO239">
        <v>0.64869549999999998</v>
      </c>
    </row>
    <row r="240" spans="1:41" x14ac:dyDescent="0.45">
      <c r="D240" s="12" t="s">
        <v>8</v>
      </c>
      <c r="E240" s="12" t="s">
        <v>9</v>
      </c>
      <c r="F240" s="12" t="s">
        <v>10</v>
      </c>
      <c r="G240" s="12" t="s">
        <v>346</v>
      </c>
      <c r="H240" s="12" t="s">
        <v>222</v>
      </c>
      <c r="I240" s="12" t="s">
        <v>223</v>
      </c>
      <c r="J240" s="12" t="s">
        <v>224</v>
      </c>
      <c r="K240" s="12" t="s">
        <v>225</v>
      </c>
      <c r="L240" s="12" t="s">
        <v>345</v>
      </c>
      <c r="M240" s="12" t="s">
        <v>344</v>
      </c>
      <c r="N240" s="12"/>
      <c r="AO240">
        <v>0.66465850000000004</v>
      </c>
    </row>
    <row r="241" spans="4:41" x14ac:dyDescent="0.45">
      <c r="D241" s="3" t="s">
        <v>836</v>
      </c>
      <c r="E241" s="3" t="s">
        <v>837</v>
      </c>
      <c r="F241" s="3" t="s">
        <v>838</v>
      </c>
      <c r="G241" s="3">
        <f t="shared" ref="G241:G271" si="79">(DATEVALUE(LEFT(E241, 10))-DATEVALUE(LEFT(D241, 10))) * 86400 + (TIMEVALUE(MID(E241, 12, 8)) - TIMEVALUE(MID(D241, 12, 8))) * 86400 + (VALUE(RIGHT(E241, 6)) - VALUE(RIGHT(D241, 6))) / 1000000</f>
        <v>-0.63366399999935696</v>
      </c>
      <c r="K241" s="3" cm="1">
        <f t="array" ref="K241">((LOOKUP(2,1/(G241:G262&lt;&gt;""),G241:G262) - G241)/SUM(H242:H262)) * 60</f>
        <v>-6.7505191809261206E-2</v>
      </c>
      <c r="M241" s="21">
        <v>0</v>
      </c>
      <c r="N241">
        <f t="shared" ref="N241:N271" si="80">(MID(F241, 2, 7) + MID(F241, 12, 8)) / 2</f>
        <v>0.64869549999999998</v>
      </c>
      <c r="AO241">
        <v>0.19577899999999998</v>
      </c>
    </row>
    <row r="242" spans="4:41" x14ac:dyDescent="0.45">
      <c r="D242" s="3" t="s">
        <v>872</v>
      </c>
      <c r="E242" s="3" t="s">
        <v>873</v>
      </c>
      <c r="F242" s="3" t="s">
        <v>874</v>
      </c>
      <c r="G242" s="3">
        <f t="shared" si="79"/>
        <v>-1.6646580000035101</v>
      </c>
      <c r="H242" s="3">
        <f t="shared" ref="H242:H271" si="81">((DATEVALUE(LEFT(D242,10))-DATEVALUE(LEFT(D241,10)))*86400+(TIMEVALUE(MID(D242,12,8))-TIMEVALUE(MID(D241,12,8)))*86400+(VALUE(RIGHT(D242,6))-VALUE(RIGHT(D241,6)))/1000000)/ 60</f>
        <v>800.23384713333348</v>
      </c>
      <c r="I242" s="3">
        <f t="shared" ref="I242:I271" si="82">3600 * (G242-G241) / ((DATEVALUE(LEFT(D242, 10))-DATEVALUE(LEFT(D241, 10))) * 86400 + (TIMEVALUE(MID(D242, 12, 8)) - TIMEVALUE(MID(D241, 12, 8))) * 86400 + (VALUE(RIGHT(D242, 6)) - VALUE(RIGHT(D241, 6))) / 1000000)</f>
        <v>-7.7301953949896154E-2</v>
      </c>
      <c r="J242" s="7">
        <f t="shared" ref="J242:J248" si="83">(FLOOR(G242, 1) - FLOOR(G241, 1)) / H242 * 60</f>
        <v>-7.4978083237715029E-2</v>
      </c>
      <c r="M242" s="22">
        <f t="shared" ref="M242:M248" si="84">M241 + H242</f>
        <v>800.23384713333348</v>
      </c>
      <c r="N242">
        <f t="shared" si="80"/>
        <v>0.66465850000000004</v>
      </c>
      <c r="AO242">
        <v>0.57120400000000005</v>
      </c>
    </row>
    <row r="243" spans="4:41" x14ac:dyDescent="0.45">
      <c r="D243" s="3" t="s">
        <v>884</v>
      </c>
      <c r="E243" s="3" t="s">
        <v>885</v>
      </c>
      <c r="F243" s="3" t="s">
        <v>886</v>
      </c>
      <c r="G243" s="3">
        <f t="shared" si="79"/>
        <v>-2.1957820000004689</v>
      </c>
      <c r="H243" s="3">
        <f t="shared" si="81"/>
        <v>504.5588497666667</v>
      </c>
      <c r="I243" s="3">
        <f t="shared" si="82"/>
        <v>-6.3159015077338607E-2</v>
      </c>
      <c r="J243" s="7">
        <f t="shared" si="83"/>
        <v>-0.11891576181400247</v>
      </c>
      <c r="M243" s="22">
        <f t="shared" si="84"/>
        <v>1304.7926969000002</v>
      </c>
      <c r="N243">
        <f t="shared" si="80"/>
        <v>0.19577899999999998</v>
      </c>
      <c r="AO243">
        <v>0.97726550000000001</v>
      </c>
    </row>
    <row r="244" spans="4:41" x14ac:dyDescent="0.45">
      <c r="D244" s="2" t="s">
        <v>899</v>
      </c>
      <c r="E244" s="2" t="s">
        <v>900</v>
      </c>
      <c r="F244" s="1" t="s">
        <v>901</v>
      </c>
      <c r="G244" s="3">
        <f t="shared" si="79"/>
        <v>-2.5712070000004692</v>
      </c>
      <c r="H244" s="3">
        <f t="shared" si="81"/>
        <v>1351.8729318166666</v>
      </c>
      <c r="I244" s="3">
        <f t="shared" si="82"/>
        <v>-1.666243880608655E-2</v>
      </c>
      <c r="J244" s="7">
        <f t="shared" si="83"/>
        <v>0</v>
      </c>
      <c r="M244" s="22">
        <f t="shared" si="84"/>
        <v>2656.665628716667</v>
      </c>
      <c r="N244">
        <f t="shared" si="80"/>
        <v>0.57120400000000005</v>
      </c>
      <c r="AO244">
        <v>0.30595299999999997</v>
      </c>
    </row>
    <row r="245" spans="4:41" x14ac:dyDescent="0.45">
      <c r="D245" s="3" t="s">
        <v>923</v>
      </c>
      <c r="E245" s="3" t="s">
        <v>924</v>
      </c>
      <c r="F245" s="3" t="s">
        <v>945</v>
      </c>
      <c r="G245" s="3">
        <f t="shared" si="79"/>
        <v>-4.9772660000039792</v>
      </c>
      <c r="H245" s="3">
        <f t="shared" si="81"/>
        <v>1254.5900949166667</v>
      </c>
      <c r="I245" s="3">
        <f t="shared" si="82"/>
        <v>-0.11506829249261659</v>
      </c>
      <c r="J245" s="7">
        <f t="shared" si="83"/>
        <v>-9.56487704519704E-2</v>
      </c>
      <c r="M245" s="22">
        <f t="shared" si="84"/>
        <v>3911.2557236333337</v>
      </c>
      <c r="N245">
        <f t="shared" si="80"/>
        <v>0.97726550000000001</v>
      </c>
      <c r="AO245">
        <v>0.82122899999999999</v>
      </c>
    </row>
    <row r="246" spans="4:41" x14ac:dyDescent="0.45">
      <c r="D246" s="3" t="s">
        <v>962</v>
      </c>
      <c r="E246" s="3" t="s">
        <v>963</v>
      </c>
      <c r="F246" s="3" t="s">
        <v>964</v>
      </c>
      <c r="G246" s="3">
        <f t="shared" si="79"/>
        <v>-5.2900110000003382</v>
      </c>
      <c r="H246" s="3">
        <f t="shared" si="81"/>
        <v>346.42188400000003</v>
      </c>
      <c r="I246" s="3">
        <f t="shared" si="82"/>
        <v>-5.4167189968234039E-2</v>
      </c>
      <c r="J246" s="7">
        <f t="shared" si="83"/>
        <v>-0.17319921971211263</v>
      </c>
      <c r="K246" s="8" t="s">
        <v>995</v>
      </c>
      <c r="M246" s="22">
        <f t="shared" si="84"/>
        <v>4257.6776076333335</v>
      </c>
      <c r="N246">
        <f t="shared" si="80"/>
        <v>0.30595299999999997</v>
      </c>
      <c r="AO246">
        <v>2.4749E-2</v>
      </c>
    </row>
    <row r="247" spans="4:41" x14ac:dyDescent="0.45">
      <c r="D247" s="3" t="s">
        <v>979</v>
      </c>
      <c r="E247" s="3" t="s">
        <v>980</v>
      </c>
      <c r="F247" s="3" t="s">
        <v>981</v>
      </c>
      <c r="G247" s="3">
        <f t="shared" si="79"/>
        <v>-4.8212299999991828</v>
      </c>
      <c r="H247" s="3">
        <f t="shared" si="81"/>
        <v>521.97551469999996</v>
      </c>
      <c r="I247" s="3">
        <f t="shared" si="82"/>
        <v>5.3885401149965713E-2</v>
      </c>
      <c r="J247" s="7">
        <f t="shared" si="83"/>
        <v>0.11494792056383024</v>
      </c>
      <c r="K247">
        <f>_xlfn.STDEV.P(I242:I262)</f>
        <v>4.8279027851524832E-2</v>
      </c>
      <c r="M247" s="22">
        <f t="shared" si="84"/>
        <v>4779.6531223333332</v>
      </c>
      <c r="N247">
        <f t="shared" si="80"/>
        <v>0.82122899999999999</v>
      </c>
      <c r="AO247">
        <v>0.695685</v>
      </c>
    </row>
    <row r="248" spans="4:41" x14ac:dyDescent="0.45">
      <c r="D248" s="3" t="s">
        <v>999</v>
      </c>
      <c r="E248" s="3" t="s">
        <v>1000</v>
      </c>
      <c r="F248" s="3" t="s">
        <v>1001</v>
      </c>
      <c r="G248" s="3">
        <f t="shared" si="79"/>
        <v>-5.0081439999913453</v>
      </c>
      <c r="H248" s="3">
        <f t="shared" si="81"/>
        <v>215.96978276666655</v>
      </c>
      <c r="I248" s="3">
        <f t="shared" si="82"/>
        <v>-5.192781997491866E-2</v>
      </c>
      <c r="J248" s="7">
        <f t="shared" si="83"/>
        <v>-0.27781664282555635</v>
      </c>
      <c r="M248" s="22">
        <f t="shared" si="84"/>
        <v>4995.6229051</v>
      </c>
      <c r="N248">
        <f t="shared" si="80"/>
        <v>2.4749E-2</v>
      </c>
      <c r="AO248">
        <v>0.27416050000000003</v>
      </c>
    </row>
    <row r="249" spans="4:41" x14ac:dyDescent="0.45">
      <c r="D249" s="3" t="s">
        <v>1020</v>
      </c>
      <c r="E249" s="3" t="s">
        <v>1021</v>
      </c>
      <c r="F249" s="3" t="s">
        <v>1022</v>
      </c>
      <c r="G249" s="3">
        <f t="shared" si="79"/>
        <v>-7.6956860000002525</v>
      </c>
      <c r="H249" s="3">
        <f t="shared" si="81"/>
        <v>691.49479323333355</v>
      </c>
      <c r="I249" s="3">
        <f t="shared" si="82"/>
        <v>-0.23319412030066064</v>
      </c>
      <c r="J249" s="7">
        <f t="shared" ref="J249:J271" si="85">(FLOOR(G249, 1) - FLOOR(G248, 1)) / H249 * 60</f>
        <v>-0.17353709843409909</v>
      </c>
      <c r="M249" s="22">
        <f t="shared" ref="M249:M271" si="86">M248 + H249</f>
        <v>5687.1176983333335</v>
      </c>
      <c r="N249">
        <f t="shared" si="80"/>
        <v>0.695685</v>
      </c>
      <c r="AO249">
        <v>0.52405999999999997</v>
      </c>
    </row>
    <row r="250" spans="4:41" x14ac:dyDescent="0.45">
      <c r="D250" s="3" t="s">
        <v>1065</v>
      </c>
      <c r="E250" s="3" t="s">
        <v>1066</v>
      </c>
      <c r="F250" s="3" t="s">
        <v>1067</v>
      </c>
      <c r="G250" s="3">
        <f t="shared" si="79"/>
        <v>-8.258789000001407</v>
      </c>
      <c r="H250" s="3">
        <f t="shared" si="81"/>
        <v>551.07605491666664</v>
      </c>
      <c r="I250" s="3">
        <f t="shared" si="82"/>
        <v>-6.1309468445654734E-2</v>
      </c>
      <c r="J250" s="7">
        <f t="shared" si="85"/>
        <v>-0.10887789346803167</v>
      </c>
      <c r="M250" s="22">
        <f t="shared" si="86"/>
        <v>6238.1937532499996</v>
      </c>
      <c r="N250">
        <f t="shared" si="80"/>
        <v>0.27416050000000003</v>
      </c>
      <c r="AO250">
        <v>0.21251249999999999</v>
      </c>
    </row>
    <row r="251" spans="4:41" x14ac:dyDescent="0.45">
      <c r="D251" s="3" t="s">
        <v>1068</v>
      </c>
      <c r="E251" s="3" t="s">
        <v>1069</v>
      </c>
      <c r="F251" s="3" t="s">
        <v>1070</v>
      </c>
      <c r="G251" s="3">
        <f t="shared" si="79"/>
        <v>-8.5091560000014077</v>
      </c>
      <c r="H251" s="3">
        <f t="shared" si="81"/>
        <v>317.95418551666666</v>
      </c>
      <c r="I251" s="3">
        <f t="shared" si="82"/>
        <v>-4.7245863348487377E-2</v>
      </c>
      <c r="J251" s="7">
        <f t="shared" si="85"/>
        <v>0</v>
      </c>
      <c r="M251" s="22">
        <f t="shared" si="86"/>
        <v>6556.1479387666659</v>
      </c>
      <c r="N251">
        <f t="shared" si="80"/>
        <v>0.52405999999999997</v>
      </c>
      <c r="AO251">
        <v>8.6920999999999998E-2</v>
      </c>
    </row>
    <row r="252" spans="4:41" x14ac:dyDescent="0.45">
      <c r="D252" s="3" t="s">
        <v>1092</v>
      </c>
      <c r="E252" s="3" t="s">
        <v>1093</v>
      </c>
      <c r="F252" s="3" t="s">
        <v>1094</v>
      </c>
      <c r="G252" s="3">
        <f t="shared" si="79"/>
        <v>-9.1961689999995642</v>
      </c>
      <c r="H252" s="3">
        <f t="shared" si="81"/>
        <v>584.61143533333336</v>
      </c>
      <c r="I252" s="3">
        <f t="shared" si="82"/>
        <v>-7.0509705264978531E-2</v>
      </c>
      <c r="J252" s="7">
        <f t="shared" si="85"/>
        <v>-0.10263227226437888</v>
      </c>
      <c r="M252" s="22">
        <f t="shared" si="86"/>
        <v>7140.7593740999991</v>
      </c>
      <c r="N252">
        <f t="shared" si="80"/>
        <v>0.21251249999999999</v>
      </c>
      <c r="AO252">
        <v>0.88314350000000008</v>
      </c>
    </row>
    <row r="253" spans="4:41" x14ac:dyDescent="0.45">
      <c r="D253" s="3" t="s">
        <v>1116</v>
      </c>
      <c r="E253" s="3" t="s">
        <v>1117</v>
      </c>
      <c r="F253" s="3" t="s">
        <v>1118</v>
      </c>
      <c r="G253" s="3">
        <f t="shared" si="79"/>
        <v>-10.070768000004916</v>
      </c>
      <c r="H253" s="3">
        <f t="shared" si="81"/>
        <v>659.71457965000002</v>
      </c>
      <c r="I253" s="3">
        <f t="shared" si="82"/>
        <v>-7.9543398947104244E-2</v>
      </c>
      <c r="J253" s="7">
        <f t="shared" si="85"/>
        <v>-9.0948422015823788E-2</v>
      </c>
      <c r="M253" s="22">
        <f t="shared" si="86"/>
        <v>7800.4739537499991</v>
      </c>
      <c r="N253">
        <f t="shared" si="80"/>
        <v>8.6920999999999998E-2</v>
      </c>
      <c r="AO253">
        <v>0.61806099999999997</v>
      </c>
    </row>
    <row r="254" spans="4:41" x14ac:dyDescent="0.45">
      <c r="D254" s="3" t="s">
        <v>1152</v>
      </c>
      <c r="E254" s="3" t="s">
        <v>1153</v>
      </c>
      <c r="F254" s="3" t="s">
        <v>1154</v>
      </c>
      <c r="G254" s="3">
        <f t="shared" si="79"/>
        <v>-10.88314400000012</v>
      </c>
      <c r="H254" s="3">
        <f t="shared" si="81"/>
        <v>815.93020056666671</v>
      </c>
      <c r="I254" s="3">
        <f t="shared" si="82"/>
        <v>-5.9738639366284464E-2</v>
      </c>
      <c r="J254" s="7">
        <f t="shared" si="85"/>
        <v>0</v>
      </c>
      <c r="M254" s="22">
        <f t="shared" si="86"/>
        <v>8616.4041543166659</v>
      </c>
      <c r="N254">
        <f t="shared" si="80"/>
        <v>0.88314350000000008</v>
      </c>
      <c r="AO254">
        <v>0.78976800000000003</v>
      </c>
    </row>
    <row r="255" spans="4:41" x14ac:dyDescent="0.45">
      <c r="D255" s="3" t="s">
        <v>1164</v>
      </c>
      <c r="E255" s="3" t="s">
        <v>1165</v>
      </c>
      <c r="F255" s="3" t="s">
        <v>1166</v>
      </c>
      <c r="G255" s="3">
        <f t="shared" si="79"/>
        <v>-11.60206199999708</v>
      </c>
      <c r="H255" s="3">
        <f t="shared" si="81"/>
        <v>584.61198764999995</v>
      </c>
      <c r="I255" s="3">
        <f t="shared" si="82"/>
        <v>-7.3784118203272284E-2</v>
      </c>
      <c r="J255" s="7">
        <f t="shared" si="85"/>
        <v>-0.1026321753017512</v>
      </c>
      <c r="M255" s="22">
        <f t="shared" si="86"/>
        <v>9201.0161419666656</v>
      </c>
      <c r="N255">
        <f t="shared" si="80"/>
        <v>0.61806099999999997</v>
      </c>
      <c r="AO255">
        <v>0.602433</v>
      </c>
    </row>
    <row r="256" spans="4:41" x14ac:dyDescent="0.45">
      <c r="D256" s="3" t="s">
        <v>1209</v>
      </c>
      <c r="E256" s="3" t="s">
        <v>1210</v>
      </c>
      <c r="F256" s="3" t="s">
        <v>1211</v>
      </c>
      <c r="G256" s="3">
        <f t="shared" si="79"/>
        <v>-11.789768999992283</v>
      </c>
      <c r="H256" s="3">
        <f t="shared" si="81"/>
        <v>197.4697956833333</v>
      </c>
      <c r="I256" s="3">
        <f t="shared" si="82"/>
        <v>-5.7033633729853345E-2</v>
      </c>
      <c r="J256" s="7">
        <f t="shared" si="85"/>
        <v>0</v>
      </c>
      <c r="M256" s="22">
        <f t="shared" si="86"/>
        <v>9398.485937649999</v>
      </c>
      <c r="N256">
        <f t="shared" si="80"/>
        <v>0.78976800000000003</v>
      </c>
      <c r="AO256">
        <v>0.61824900000000005</v>
      </c>
    </row>
    <row r="257" spans="4:41" x14ac:dyDescent="0.45">
      <c r="D257" s="3" t="s">
        <v>1212</v>
      </c>
      <c r="E257" s="3" t="s">
        <v>1213</v>
      </c>
      <c r="F257" s="3" t="s">
        <v>1214</v>
      </c>
      <c r="G257" s="3">
        <f t="shared" si="79"/>
        <v>-13.602435000005386</v>
      </c>
      <c r="H257" s="3">
        <f t="shared" si="81"/>
        <v>1868.5635377166666</v>
      </c>
      <c r="I257" s="3">
        <f t="shared" si="82"/>
        <v>-5.8205117356452236E-2</v>
      </c>
      <c r="J257" s="7">
        <f t="shared" si="85"/>
        <v>-6.4220454685012598E-2</v>
      </c>
      <c r="M257" s="22">
        <f t="shared" si="86"/>
        <v>11267.049475366666</v>
      </c>
      <c r="N257">
        <f t="shared" si="80"/>
        <v>0.602433</v>
      </c>
      <c r="AO257">
        <v>0.9146725</v>
      </c>
    </row>
    <row r="258" spans="4:41" x14ac:dyDescent="0.45">
      <c r="D258" s="3" t="s">
        <v>1251</v>
      </c>
      <c r="E258" s="3" t="s">
        <v>1252</v>
      </c>
      <c r="F258" s="3" t="s">
        <v>1253</v>
      </c>
      <c r="G258" s="3">
        <f t="shared" si="79"/>
        <v>-14.603082000002345</v>
      </c>
      <c r="H258" s="3">
        <f t="shared" si="81"/>
        <v>958.05001733333336</v>
      </c>
      <c r="I258" s="3">
        <f t="shared" si="82"/>
        <v>-6.2667730195268417E-2</v>
      </c>
      <c r="J258" s="7">
        <f t="shared" si="85"/>
        <v>-6.2627210390336294E-2</v>
      </c>
      <c r="M258" s="22">
        <f t="shared" si="86"/>
        <v>12225.099492699999</v>
      </c>
      <c r="N258">
        <f t="shared" si="80"/>
        <v>0.61824900000000005</v>
      </c>
      <c r="AO258">
        <v>0.28981000000000001</v>
      </c>
    </row>
    <row r="259" spans="4:41" x14ac:dyDescent="0.45">
      <c r="D259" s="3" t="s">
        <v>1269</v>
      </c>
      <c r="E259" s="3" t="s">
        <v>1270</v>
      </c>
      <c r="F259" s="3" t="s">
        <v>1271</v>
      </c>
      <c r="G259" s="3">
        <f t="shared" si="79"/>
        <v>-14.914675000002346</v>
      </c>
      <c r="H259" s="3">
        <f t="shared" si="81"/>
        <v>222.1218586833333</v>
      </c>
      <c r="I259" s="3">
        <f t="shared" si="82"/>
        <v>-8.4168123348243973E-2</v>
      </c>
      <c r="J259" s="7">
        <f t="shared" si="85"/>
        <v>0</v>
      </c>
      <c r="M259" s="22">
        <f t="shared" si="86"/>
        <v>12447.221351383332</v>
      </c>
      <c r="N259">
        <f t="shared" si="80"/>
        <v>0.9146725</v>
      </c>
      <c r="AO259">
        <v>8.6387500000000006E-2</v>
      </c>
    </row>
    <row r="260" spans="4:41" x14ac:dyDescent="0.45">
      <c r="D260" s="3" t="s">
        <v>1290</v>
      </c>
      <c r="E260" s="3" t="s">
        <v>1291</v>
      </c>
      <c r="F260" s="3" t="s">
        <v>1292</v>
      </c>
      <c r="G260" s="3">
        <f t="shared" si="79"/>
        <v>-15.289811000000054</v>
      </c>
      <c r="H260" s="3">
        <f t="shared" si="81"/>
        <v>402.42292043333333</v>
      </c>
      <c r="I260" s="3">
        <f t="shared" si="82"/>
        <v>-5.5931605425519622E-2</v>
      </c>
      <c r="J260" s="7">
        <f t="shared" si="85"/>
        <v>-0.14909687533550861</v>
      </c>
      <c r="M260" s="22">
        <f t="shared" si="86"/>
        <v>12849.644271816665</v>
      </c>
      <c r="N260">
        <f t="shared" si="80"/>
        <v>0.28981000000000001</v>
      </c>
      <c r="AO260">
        <v>0.57127649999999996</v>
      </c>
    </row>
    <row r="261" spans="4:41" x14ac:dyDescent="0.45">
      <c r="D261" s="3" t="s">
        <v>1308</v>
      </c>
      <c r="E261" s="3" t="s">
        <v>1309</v>
      </c>
      <c r="F261" s="3" t="s">
        <v>1310</v>
      </c>
      <c r="G261" s="3">
        <f t="shared" si="79"/>
        <v>-16.071378999996263</v>
      </c>
      <c r="H261" s="3">
        <f t="shared" si="81"/>
        <v>688.07967586666666</v>
      </c>
      <c r="I261" s="3">
        <f t="shared" si="82"/>
        <v>-6.8152107444108712E-2</v>
      </c>
      <c r="J261" s="7">
        <f t="shared" si="85"/>
        <v>-8.7199203964900371E-2</v>
      </c>
      <c r="M261" s="22">
        <f t="shared" si="86"/>
        <v>13537.723947683333</v>
      </c>
      <c r="N261">
        <f t="shared" si="80"/>
        <v>8.6387500000000006E-2</v>
      </c>
      <c r="AO261">
        <v>5.5690500000000004E-2</v>
      </c>
    </row>
    <row r="262" spans="4:41" x14ac:dyDescent="0.45">
      <c r="D262" s="3" t="s">
        <v>1344</v>
      </c>
      <c r="E262" s="3" t="s">
        <v>1345</v>
      </c>
      <c r="F262" s="3" t="s">
        <v>1346</v>
      </c>
      <c r="G262" s="3">
        <f t="shared" si="79"/>
        <v>-17.571277999993221</v>
      </c>
      <c r="H262" s="3">
        <f t="shared" si="81"/>
        <v>1516.7750139833333</v>
      </c>
      <c r="I262" s="3">
        <f t="shared" si="82"/>
        <v>-5.9332425158742992E-2</v>
      </c>
      <c r="J262" s="7">
        <f t="shared" si="85"/>
        <v>-3.9557613651894773E-2</v>
      </c>
      <c r="M262" s="22">
        <f t="shared" si="86"/>
        <v>15054.498961666666</v>
      </c>
      <c r="N262">
        <f t="shared" si="80"/>
        <v>0.57127649999999996</v>
      </c>
      <c r="AO262">
        <v>0.38374649999999999</v>
      </c>
    </row>
    <row r="263" spans="4:41" x14ac:dyDescent="0.45">
      <c r="D263" s="3" t="s">
        <v>1356</v>
      </c>
      <c r="E263" s="3" t="s">
        <v>1357</v>
      </c>
      <c r="F263" s="3" t="s">
        <v>1358</v>
      </c>
      <c r="G263" s="3">
        <f t="shared" si="79"/>
        <v>-20.039878000003284</v>
      </c>
      <c r="H263" s="3">
        <f t="shared" si="81"/>
        <v>1312.5577973666666</v>
      </c>
      <c r="I263" s="3">
        <f t="shared" si="82"/>
        <v>-0.11284531644835993</v>
      </c>
      <c r="J263" s="7">
        <f t="shared" si="85"/>
        <v>-0.13713681817374213</v>
      </c>
      <c r="M263" s="22">
        <f t="shared" si="86"/>
        <v>16367.056759033332</v>
      </c>
      <c r="N263">
        <f t="shared" si="80"/>
        <v>5.5690500000000004E-2</v>
      </c>
      <c r="AO263">
        <v>0.82146450000000004</v>
      </c>
    </row>
    <row r="264" spans="4:41" x14ac:dyDescent="0.45">
      <c r="D264" s="3" t="s">
        <v>1401</v>
      </c>
      <c r="E264" s="3" t="s">
        <v>1402</v>
      </c>
      <c r="F264" s="3" t="s">
        <v>1403</v>
      </c>
      <c r="G264" s="3">
        <f t="shared" si="79"/>
        <v>-20.383750000003282</v>
      </c>
      <c r="H264" s="3">
        <f t="shared" si="81"/>
        <v>305.15574906666666</v>
      </c>
      <c r="I264" s="3">
        <f t="shared" si="82"/>
        <v>-6.7612424354136474E-2</v>
      </c>
      <c r="J264" s="7">
        <f t="shared" si="85"/>
        <v>0</v>
      </c>
      <c r="M264" s="22">
        <f t="shared" si="86"/>
        <v>16672.212508099998</v>
      </c>
      <c r="N264">
        <f t="shared" si="80"/>
        <v>0.38374649999999999</v>
      </c>
      <c r="AO264">
        <v>0.93030750000000006</v>
      </c>
    </row>
    <row r="265" spans="4:41" x14ac:dyDescent="0.45">
      <c r="D265" s="3" t="s">
        <v>1416</v>
      </c>
      <c r="E265" s="3" t="s">
        <v>1417</v>
      </c>
      <c r="F265" s="3" t="s">
        <v>1418</v>
      </c>
      <c r="G265" s="3">
        <f t="shared" si="79"/>
        <v>-21.821465000000241</v>
      </c>
      <c r="H265" s="3">
        <f t="shared" si="81"/>
        <v>1387.1572912166666</v>
      </c>
      <c r="I265" s="3">
        <f t="shared" si="82"/>
        <v>-6.2186819437150452E-2</v>
      </c>
      <c r="J265" s="7">
        <f t="shared" si="85"/>
        <v>-4.3253926847311157E-2</v>
      </c>
      <c r="M265" s="22">
        <f t="shared" si="86"/>
        <v>18059.369799316664</v>
      </c>
      <c r="N265">
        <f t="shared" si="80"/>
        <v>0.82146450000000004</v>
      </c>
      <c r="AO265">
        <v>0.50824150000000001</v>
      </c>
    </row>
    <row r="266" spans="4:41" x14ac:dyDescent="0.45">
      <c r="D266" s="3" t="s">
        <v>1434</v>
      </c>
      <c r="E266" s="3" t="s">
        <v>1435</v>
      </c>
      <c r="F266" s="3" t="s">
        <v>1436</v>
      </c>
      <c r="G266" s="3">
        <f t="shared" si="79"/>
        <v>-22.914594999997199</v>
      </c>
      <c r="H266" s="3">
        <f t="shared" si="81"/>
        <v>1361.8682136333334</v>
      </c>
      <c r="I266" s="3">
        <f t="shared" si="82"/>
        <v>-4.8160166558873937E-2</v>
      </c>
      <c r="J266" s="7">
        <f t="shared" si="85"/>
        <v>-4.4057126379303452E-2</v>
      </c>
      <c r="M266" s="22">
        <f t="shared" si="86"/>
        <v>19421.238012949998</v>
      </c>
      <c r="N266">
        <f t="shared" si="80"/>
        <v>0.93030750000000006</v>
      </c>
      <c r="AO266">
        <v>0.83640999999999999</v>
      </c>
    </row>
    <row r="267" spans="4:41" x14ac:dyDescent="0.45">
      <c r="D267" s="3" t="s">
        <v>1470</v>
      </c>
      <c r="E267" s="3" t="s">
        <v>1471</v>
      </c>
      <c r="F267" s="3" t="s">
        <v>1472</v>
      </c>
      <c r="G267" s="3">
        <f t="shared" si="79"/>
        <v>-23.508243000003752</v>
      </c>
      <c r="H267" s="3">
        <f t="shared" si="81"/>
        <v>579.59322673333349</v>
      </c>
      <c r="I267" s="3">
        <f t="shared" si="82"/>
        <v>-6.1454962476262961E-2</v>
      </c>
      <c r="J267" s="7">
        <f t="shared" si="85"/>
        <v>-0.10352087849295304</v>
      </c>
      <c r="M267" s="22">
        <f t="shared" si="86"/>
        <v>20000.831239683332</v>
      </c>
      <c r="N267">
        <f t="shared" si="80"/>
        <v>0.50824150000000001</v>
      </c>
      <c r="AO267">
        <v>0.79039150000000002</v>
      </c>
    </row>
    <row r="268" spans="4:41" x14ac:dyDescent="0.45">
      <c r="D268" s="3" t="s">
        <v>1479</v>
      </c>
      <c r="E268" s="3" t="s">
        <v>1480</v>
      </c>
      <c r="F268" s="3" t="s">
        <v>1481</v>
      </c>
      <c r="G268" s="3">
        <f t="shared" si="79"/>
        <v>-24.821136000000109</v>
      </c>
      <c r="H268" s="3">
        <f t="shared" si="81"/>
        <v>1553.9052193166667</v>
      </c>
      <c r="I268" s="3">
        <f t="shared" si="82"/>
        <v>-5.0693941316718338E-2</v>
      </c>
      <c r="J268" s="7">
        <f t="shared" si="85"/>
        <v>-3.8612393635169807E-2</v>
      </c>
      <c r="M268" s="22">
        <f t="shared" si="86"/>
        <v>21554.736459</v>
      </c>
      <c r="N268">
        <f t="shared" si="80"/>
        <v>0.83640999999999999</v>
      </c>
      <c r="AO268">
        <v>0.1337875</v>
      </c>
    </row>
    <row r="269" spans="4:41" x14ac:dyDescent="0.45">
      <c r="D269" s="3" t="s">
        <v>1521</v>
      </c>
      <c r="E269" s="3" t="s">
        <v>1522</v>
      </c>
      <c r="F269" s="3" t="s">
        <v>1523</v>
      </c>
      <c r="G269" s="3">
        <f t="shared" si="79"/>
        <v>-25.79039199999767</v>
      </c>
      <c r="H269" s="3">
        <f t="shared" si="81"/>
        <v>802.99949048333326</v>
      </c>
      <c r="I269" s="3">
        <f t="shared" si="82"/>
        <v>-7.2422661146209891E-2</v>
      </c>
      <c r="J269" s="7">
        <f t="shared" si="85"/>
        <v>-7.4719848158166846E-2</v>
      </c>
      <c r="M269" s="22">
        <f t="shared" si="86"/>
        <v>22357.735949483333</v>
      </c>
      <c r="N269">
        <f t="shared" si="80"/>
        <v>0.79039150000000002</v>
      </c>
      <c r="AO269">
        <v>5.5372000000000005E-2</v>
      </c>
    </row>
    <row r="270" spans="4:41" hidden="1" x14ac:dyDescent="0.45">
      <c r="D270" s="3" t="s">
        <v>1532</v>
      </c>
      <c r="E270" s="3" t="s">
        <v>1533</v>
      </c>
      <c r="F270" s="3" t="s">
        <v>1534</v>
      </c>
      <c r="G270" s="3">
        <f t="shared" si="79"/>
        <v>-26.133789999994629</v>
      </c>
      <c r="H270" s="3">
        <f t="shared" si="81"/>
        <v>431.70572938333328</v>
      </c>
      <c r="I270" s="3">
        <f t="shared" si="82"/>
        <v>-4.7726677218875503E-2</v>
      </c>
      <c r="J270" s="7">
        <f t="shared" si="85"/>
        <v>-0.13898356198725123</v>
      </c>
      <c r="M270" s="22">
        <f t="shared" si="86"/>
        <v>22789.441678866668</v>
      </c>
      <c r="N270">
        <f t="shared" si="80"/>
        <v>0.1337875</v>
      </c>
      <c r="AO270">
        <v>0</v>
      </c>
    </row>
    <row r="271" spans="4:41" hidden="1" x14ac:dyDescent="0.45">
      <c r="D271" s="3" t="s">
        <v>1553</v>
      </c>
      <c r="E271" s="3" t="s">
        <v>1554</v>
      </c>
      <c r="F271" s="3" t="s">
        <v>1552</v>
      </c>
      <c r="G271" s="3">
        <f t="shared" si="79"/>
        <v>-27.040009000001181</v>
      </c>
      <c r="H271" s="3">
        <f t="shared" si="81"/>
        <v>1062.4650940833333</v>
      </c>
      <c r="I271" s="3">
        <f t="shared" si="82"/>
        <v>-5.117640127961548E-2</v>
      </c>
      <c r="J271" s="7">
        <f t="shared" si="85"/>
        <v>-5.6472443503441785E-2</v>
      </c>
      <c r="M271" s="22">
        <f t="shared" si="86"/>
        <v>23851.906772950002</v>
      </c>
      <c r="N271">
        <f t="shared" si="80"/>
        <v>5.5372000000000005E-2</v>
      </c>
      <c r="AO271">
        <v>0</v>
      </c>
    </row>
    <row r="272" spans="4:41" hidden="1" x14ac:dyDescent="0.45">
      <c r="D272" s="3"/>
      <c r="E272" s="3"/>
      <c r="F272" s="3"/>
      <c r="AO272">
        <v>0</v>
      </c>
    </row>
    <row r="273" spans="4:41" hidden="1" x14ac:dyDescent="0.45">
      <c r="D273" s="3"/>
      <c r="E273" s="3"/>
      <c r="F273" s="3"/>
      <c r="AO273">
        <v>0</v>
      </c>
    </row>
    <row r="274" spans="4:41" hidden="1" x14ac:dyDescent="0.45">
      <c r="D274" s="3"/>
      <c r="E274" s="3"/>
      <c r="F274" s="3"/>
      <c r="AO274">
        <v>0</v>
      </c>
    </row>
    <row r="275" spans="4:41" hidden="1" x14ac:dyDescent="0.45">
      <c r="D275" s="3"/>
      <c r="E275" s="3"/>
      <c r="F275" s="3"/>
      <c r="AO275">
        <v>0</v>
      </c>
    </row>
    <row r="276" spans="4:41" hidden="1" x14ac:dyDescent="0.45">
      <c r="D276" s="3"/>
      <c r="E276" s="3"/>
      <c r="F276" s="3"/>
      <c r="AO276">
        <v>0</v>
      </c>
    </row>
    <row r="277" spans="4:41" hidden="1" x14ac:dyDescent="0.45">
      <c r="D277" s="3"/>
      <c r="E277" s="3"/>
      <c r="F277" s="3"/>
      <c r="AO277">
        <v>0</v>
      </c>
    </row>
    <row r="278" spans="4:41" hidden="1" x14ac:dyDescent="0.45">
      <c r="D278" s="3"/>
      <c r="E278" s="3"/>
      <c r="F278" s="3"/>
      <c r="AO278">
        <v>0</v>
      </c>
    </row>
    <row r="279" spans="4:41" hidden="1" x14ac:dyDescent="0.45">
      <c r="D279" s="3"/>
      <c r="E279" s="3"/>
      <c r="F279" s="3"/>
      <c r="AO279">
        <v>0</v>
      </c>
    </row>
    <row r="280" spans="4:41" hidden="1" x14ac:dyDescent="0.45">
      <c r="AO280">
        <v>0</v>
      </c>
    </row>
    <row r="281" spans="4:41" hidden="1" x14ac:dyDescent="0.45">
      <c r="AO281">
        <v>0</v>
      </c>
    </row>
    <row r="282" spans="4:41" hidden="1" x14ac:dyDescent="0.45">
      <c r="AO282">
        <v>0</v>
      </c>
    </row>
    <row r="283" spans="4:41" hidden="1" x14ac:dyDescent="0.45">
      <c r="AO283">
        <v>0</v>
      </c>
    </row>
    <row r="284" spans="4:41" hidden="1" x14ac:dyDescent="0.45">
      <c r="AO284">
        <v>0</v>
      </c>
    </row>
    <row r="285" spans="4:41" hidden="1" x14ac:dyDescent="0.45">
      <c r="AO285">
        <v>0</v>
      </c>
    </row>
    <row r="286" spans="4:41" hidden="1" x14ac:dyDescent="0.45">
      <c r="AO286">
        <v>0</v>
      </c>
    </row>
    <row r="287" spans="4:41" hidden="1" x14ac:dyDescent="0.45">
      <c r="AO287">
        <v>0</v>
      </c>
    </row>
    <row r="288" spans="4:41" hidden="1" x14ac:dyDescent="0.45">
      <c r="AO288">
        <v>0</v>
      </c>
    </row>
    <row r="289" spans="41:41" hidden="1" x14ac:dyDescent="0.45">
      <c r="AO289">
        <v>0</v>
      </c>
    </row>
    <row r="290" spans="41:41" hidden="1" x14ac:dyDescent="0.45">
      <c r="AO290">
        <v>0</v>
      </c>
    </row>
    <row r="291" spans="41:41" hidden="1" x14ac:dyDescent="0.45">
      <c r="AO291">
        <v>0</v>
      </c>
    </row>
    <row r="292" spans="41:41" hidden="1" x14ac:dyDescent="0.45">
      <c r="AO292">
        <v>0</v>
      </c>
    </row>
    <row r="293" spans="41:41" hidden="1" x14ac:dyDescent="0.45">
      <c r="AO293">
        <v>0</v>
      </c>
    </row>
    <row r="294" spans="41:41" hidden="1" x14ac:dyDescent="0.45">
      <c r="AO294">
        <v>0</v>
      </c>
    </row>
    <row r="295" spans="41:41" hidden="1" x14ac:dyDescent="0.45">
      <c r="AO295">
        <v>0</v>
      </c>
    </row>
    <row r="296" spans="41:41" hidden="1" x14ac:dyDescent="0.45">
      <c r="AO296">
        <v>0</v>
      </c>
    </row>
    <row r="297" spans="41:41" hidden="1" x14ac:dyDescent="0.45">
      <c r="AO297">
        <v>0</v>
      </c>
    </row>
    <row r="298" spans="41:41" hidden="1" x14ac:dyDescent="0.45">
      <c r="AO298">
        <v>0</v>
      </c>
    </row>
    <row r="299" spans="41:41" x14ac:dyDescent="0.45">
      <c r="AO299" cm="1">
        <f t="array" ref="AO299:AO596">Uncalibrated!N3:N300</f>
        <v>0.22723100000000002</v>
      </c>
    </row>
    <row r="300" spans="41:41" x14ac:dyDescent="0.45">
      <c r="AO300">
        <v>0.69584749999999995</v>
      </c>
    </row>
    <row r="301" spans="41:41" x14ac:dyDescent="0.45">
      <c r="AO301">
        <v>0.60253599999999996</v>
      </c>
    </row>
    <row r="302" spans="41:41" x14ac:dyDescent="0.45">
      <c r="AO302">
        <v>0.71171699999999993</v>
      </c>
    </row>
    <row r="303" spans="41:41" x14ac:dyDescent="0.45">
      <c r="AO303">
        <v>0.69587949999999998</v>
      </c>
    </row>
    <row r="304" spans="41:41" x14ac:dyDescent="0.45">
      <c r="AO304">
        <v>0.10226450000000001</v>
      </c>
    </row>
    <row r="305" spans="41:41" x14ac:dyDescent="0.45">
      <c r="AO305">
        <v>0.54019700000000004</v>
      </c>
    </row>
    <row r="306" spans="41:41" x14ac:dyDescent="0.45">
      <c r="AO306">
        <v>0.66508800000000001</v>
      </c>
    </row>
    <row r="307" spans="41:41" x14ac:dyDescent="0.45">
      <c r="AO307">
        <v>0.60219800000000001</v>
      </c>
    </row>
    <row r="308" spans="41:41" x14ac:dyDescent="0.45">
      <c r="AO308">
        <v>0.32119449999999999</v>
      </c>
    </row>
    <row r="309" spans="41:41" x14ac:dyDescent="0.45">
      <c r="AO309">
        <v>0.50815049999999995</v>
      </c>
    </row>
    <row r="310" spans="41:41" x14ac:dyDescent="0.45">
      <c r="AO310">
        <v>0.68075949999999996</v>
      </c>
    </row>
    <row r="311" spans="41:41" x14ac:dyDescent="0.45">
      <c r="AO311">
        <v>0.44622600000000001</v>
      </c>
    </row>
    <row r="312" spans="41:41" x14ac:dyDescent="0.45">
      <c r="AO312">
        <v>0.64894549999999995</v>
      </c>
    </row>
    <row r="313" spans="41:41" x14ac:dyDescent="0.45">
      <c r="AO313">
        <v>0.43012</v>
      </c>
    </row>
    <row r="314" spans="41:41" x14ac:dyDescent="0.45">
      <c r="AO314">
        <v>0.1664465</v>
      </c>
    </row>
    <row r="315" spans="41:41" x14ac:dyDescent="0.45">
      <c r="AO315">
        <v>0.8520295</v>
      </c>
    </row>
    <row r="316" spans="41:41" hidden="1" x14ac:dyDescent="0.45">
      <c r="AO316">
        <v>0</v>
      </c>
    </row>
    <row r="317" spans="41:41" hidden="1" x14ac:dyDescent="0.45">
      <c r="AO317">
        <v>0</v>
      </c>
    </row>
    <row r="318" spans="41:41" hidden="1" x14ac:dyDescent="0.45">
      <c r="AO318">
        <v>0</v>
      </c>
    </row>
    <row r="319" spans="41:41" hidden="1" x14ac:dyDescent="0.45">
      <c r="AO319">
        <v>0</v>
      </c>
    </row>
    <row r="320" spans="41:41" hidden="1" x14ac:dyDescent="0.45">
      <c r="AO320">
        <v>0</v>
      </c>
    </row>
    <row r="321" spans="41:41" hidden="1" x14ac:dyDescent="0.45">
      <c r="AO321">
        <v>0</v>
      </c>
    </row>
    <row r="322" spans="41:41" hidden="1" x14ac:dyDescent="0.45">
      <c r="AO322">
        <v>0</v>
      </c>
    </row>
    <row r="323" spans="41:41" x14ac:dyDescent="0.45">
      <c r="AO323">
        <v>0.85299100000000005</v>
      </c>
    </row>
    <row r="324" spans="41:41" x14ac:dyDescent="0.45">
      <c r="AO324">
        <v>0.69604299999999997</v>
      </c>
    </row>
    <row r="325" spans="41:41" x14ac:dyDescent="0.45">
      <c r="AO325">
        <v>0.57113100000000006</v>
      </c>
    </row>
    <row r="326" spans="41:41" x14ac:dyDescent="0.45">
      <c r="AO326">
        <v>0.66523899999999991</v>
      </c>
    </row>
    <row r="327" spans="41:41" x14ac:dyDescent="0.45">
      <c r="AO327">
        <v>0.54003950000000001</v>
      </c>
    </row>
    <row r="328" spans="41:41" x14ac:dyDescent="0.45">
      <c r="AO328">
        <v>0.75817099999999993</v>
      </c>
    </row>
    <row r="329" spans="41:41" x14ac:dyDescent="0.45">
      <c r="AO329">
        <v>0.22748099999999999</v>
      </c>
    </row>
    <row r="330" spans="41:41" x14ac:dyDescent="0.45">
      <c r="AO330">
        <v>0.3209765</v>
      </c>
    </row>
    <row r="331" spans="41:41" x14ac:dyDescent="0.45">
      <c r="AO331">
        <v>0.16500700000000001</v>
      </c>
    </row>
    <row r="332" spans="41:41" x14ac:dyDescent="0.45">
      <c r="AO332">
        <v>0.54009050000000003</v>
      </c>
    </row>
    <row r="333" spans="41:41" x14ac:dyDescent="0.45">
      <c r="AO333">
        <v>0.71148250000000002</v>
      </c>
    </row>
    <row r="334" spans="41:41" x14ac:dyDescent="0.45">
      <c r="AO334">
        <v>0.617533</v>
      </c>
    </row>
    <row r="335" spans="41:41" x14ac:dyDescent="0.45">
      <c r="AO335">
        <v>0.18068699999999999</v>
      </c>
    </row>
    <row r="336" spans="41:41" x14ac:dyDescent="0.45">
      <c r="AO336">
        <v>0.165545</v>
      </c>
    </row>
    <row r="337" spans="41:41" x14ac:dyDescent="0.45">
      <c r="AO337">
        <v>0.82100799999999996</v>
      </c>
    </row>
    <row r="338" spans="41:41" x14ac:dyDescent="0.45">
      <c r="AO338">
        <v>0.52392649999999996</v>
      </c>
    </row>
    <row r="339" spans="41:41" x14ac:dyDescent="0.45">
      <c r="AO339">
        <v>0.79027150000000002</v>
      </c>
    </row>
    <row r="340" spans="41:41" x14ac:dyDescent="0.45">
      <c r="AO340">
        <v>0.69586250000000005</v>
      </c>
    </row>
    <row r="341" spans="41:41" x14ac:dyDescent="0.45">
      <c r="AO341">
        <v>0.16472249999999999</v>
      </c>
    </row>
    <row r="342" spans="41:41" hidden="1" x14ac:dyDescent="0.45">
      <c r="AO342">
        <v>0</v>
      </c>
    </row>
    <row r="343" spans="41:41" hidden="1" x14ac:dyDescent="0.45">
      <c r="AO343">
        <v>0</v>
      </c>
    </row>
    <row r="344" spans="41:41" hidden="1" x14ac:dyDescent="0.45">
      <c r="AO344">
        <v>0</v>
      </c>
    </row>
    <row r="345" spans="41:41" hidden="1" x14ac:dyDescent="0.45">
      <c r="AO345">
        <v>0</v>
      </c>
    </row>
    <row r="346" spans="41:41" hidden="1" x14ac:dyDescent="0.45">
      <c r="AO346">
        <v>0</v>
      </c>
    </row>
    <row r="347" spans="41:41" x14ac:dyDescent="0.45">
      <c r="AO347">
        <v>0.85248849999999998</v>
      </c>
    </row>
    <row r="348" spans="41:41" x14ac:dyDescent="0.45">
      <c r="AO348">
        <v>0.66445149999999997</v>
      </c>
    </row>
    <row r="349" spans="41:41" x14ac:dyDescent="0.45">
      <c r="AO349">
        <v>0.47752249999999996</v>
      </c>
    </row>
    <row r="350" spans="41:41" x14ac:dyDescent="0.45">
      <c r="AO350">
        <v>0.57113400000000003</v>
      </c>
    </row>
    <row r="351" spans="41:41" x14ac:dyDescent="0.45">
      <c r="AO351">
        <v>0.45399600000000001</v>
      </c>
    </row>
    <row r="352" spans="41:41" x14ac:dyDescent="0.45">
      <c r="AO352">
        <v>0.66555750000000002</v>
      </c>
    </row>
    <row r="353" spans="41:41" x14ac:dyDescent="0.45">
      <c r="AO353">
        <v>0.22690850000000001</v>
      </c>
    </row>
    <row r="354" spans="41:41" x14ac:dyDescent="0.45">
      <c r="AO354">
        <v>0.2900645</v>
      </c>
    </row>
    <row r="355" spans="41:41" x14ac:dyDescent="0.45">
      <c r="AO355">
        <v>0.1334825</v>
      </c>
    </row>
    <row r="356" spans="41:41" x14ac:dyDescent="0.45">
      <c r="AO356">
        <v>0.53956699999999991</v>
      </c>
    </row>
    <row r="357" spans="41:41" x14ac:dyDescent="0.45">
      <c r="AO357">
        <v>0.71119449999999995</v>
      </c>
    </row>
    <row r="358" spans="41:41" x14ac:dyDescent="0.45">
      <c r="AO358">
        <v>0.63349450000000007</v>
      </c>
    </row>
    <row r="359" spans="41:41" x14ac:dyDescent="0.45">
      <c r="AO359">
        <v>0.10238549999999999</v>
      </c>
    </row>
    <row r="360" spans="41:41" x14ac:dyDescent="0.45">
      <c r="AO360">
        <v>7.1178999999999992E-2</v>
      </c>
    </row>
    <row r="361" spans="41:41" x14ac:dyDescent="0.45">
      <c r="AO361">
        <v>0.82095649999999998</v>
      </c>
    </row>
    <row r="362" spans="41:41" x14ac:dyDescent="0.45">
      <c r="AO362">
        <v>0.25840249999999998</v>
      </c>
    </row>
    <row r="363" spans="41:41" x14ac:dyDescent="0.45">
      <c r="AO363">
        <v>0.82130049999999999</v>
      </c>
    </row>
    <row r="364" spans="41:41" x14ac:dyDescent="0.45">
      <c r="AO364">
        <v>0.75840099999999999</v>
      </c>
    </row>
    <row r="365" spans="41:41" x14ac:dyDescent="0.45">
      <c r="AO365">
        <v>0.149279</v>
      </c>
    </row>
    <row r="366" spans="41:41" hidden="1" x14ac:dyDescent="0.45">
      <c r="AO366">
        <v>0</v>
      </c>
    </row>
    <row r="367" spans="41:41" hidden="1" x14ac:dyDescent="0.45">
      <c r="AO367">
        <v>0</v>
      </c>
    </row>
    <row r="368" spans="41:41" hidden="1" x14ac:dyDescent="0.45">
      <c r="AO368">
        <v>0</v>
      </c>
    </row>
    <row r="369" spans="41:41" hidden="1" x14ac:dyDescent="0.45">
      <c r="AO369">
        <v>0</v>
      </c>
    </row>
    <row r="370" spans="41:41" hidden="1" x14ac:dyDescent="0.45">
      <c r="AO370">
        <v>0</v>
      </c>
    </row>
    <row r="371" spans="41:41" x14ac:dyDescent="0.45">
      <c r="AO371">
        <v>0.88346950000000002</v>
      </c>
    </row>
    <row r="372" spans="41:41" x14ac:dyDescent="0.45">
      <c r="AO372">
        <v>0.41451749999999998</v>
      </c>
    </row>
    <row r="373" spans="41:41" x14ac:dyDescent="0.45">
      <c r="AO373">
        <v>0.35314050000000002</v>
      </c>
    </row>
    <row r="374" spans="41:41" x14ac:dyDescent="0.45">
      <c r="AO374">
        <v>0.41460600000000003</v>
      </c>
    </row>
    <row r="375" spans="41:41" x14ac:dyDescent="0.45">
      <c r="AO375">
        <v>0.10241549999999999</v>
      </c>
    </row>
    <row r="376" spans="41:41" x14ac:dyDescent="0.45">
      <c r="AO376">
        <v>0.88392800000000005</v>
      </c>
    </row>
    <row r="377" spans="41:41" x14ac:dyDescent="0.45">
      <c r="AO377">
        <v>0.4778675</v>
      </c>
    </row>
    <row r="378" spans="41:41" x14ac:dyDescent="0.45">
      <c r="AO378">
        <v>0.53982550000000007</v>
      </c>
    </row>
    <row r="379" spans="41:41" x14ac:dyDescent="0.45">
      <c r="AO379">
        <v>0.227328</v>
      </c>
    </row>
    <row r="380" spans="41:41" x14ac:dyDescent="0.45">
      <c r="AO380">
        <v>0.85217399999999999</v>
      </c>
    </row>
    <row r="381" spans="41:41" x14ac:dyDescent="0.45">
      <c r="AO381">
        <v>0.97711749999999997</v>
      </c>
    </row>
    <row r="382" spans="41:41" x14ac:dyDescent="0.45">
      <c r="AO382">
        <v>0.47733100000000001</v>
      </c>
    </row>
    <row r="383" spans="41:41" x14ac:dyDescent="0.45">
      <c r="AO383">
        <v>0.44591900000000001</v>
      </c>
    </row>
    <row r="384" spans="41:41" x14ac:dyDescent="0.45">
      <c r="AO384">
        <v>2.4373499999999999E-2</v>
      </c>
    </row>
    <row r="385" spans="41:41" x14ac:dyDescent="0.45">
      <c r="AO385">
        <v>0.33707949999999998</v>
      </c>
    </row>
    <row r="386" spans="41:41" x14ac:dyDescent="0.45">
      <c r="AO386">
        <v>0.82071150000000004</v>
      </c>
    </row>
    <row r="387" spans="41:41" x14ac:dyDescent="0.45">
      <c r="AO387">
        <v>0.25843000000000005</v>
      </c>
    </row>
    <row r="388" spans="41:41" x14ac:dyDescent="0.45">
      <c r="AO388">
        <v>0.10211300000000001</v>
      </c>
    </row>
    <row r="389" spans="41:41" x14ac:dyDescent="0.45">
      <c r="AO389">
        <v>0.477412</v>
      </c>
    </row>
    <row r="390" spans="41:41" hidden="1" x14ac:dyDescent="0.45">
      <c r="AO390">
        <v>0</v>
      </c>
    </row>
    <row r="391" spans="41:41" hidden="1" x14ac:dyDescent="0.45">
      <c r="AO391">
        <v>0</v>
      </c>
    </row>
    <row r="392" spans="41:41" hidden="1" x14ac:dyDescent="0.45">
      <c r="AO392">
        <v>0</v>
      </c>
    </row>
    <row r="393" spans="41:41" hidden="1" x14ac:dyDescent="0.45">
      <c r="AO393">
        <v>0</v>
      </c>
    </row>
    <row r="394" spans="41:41" hidden="1" x14ac:dyDescent="0.45">
      <c r="AO394">
        <v>0</v>
      </c>
    </row>
    <row r="395" spans="41:41" x14ac:dyDescent="0.45">
      <c r="AO395">
        <v>0.11764749999999999</v>
      </c>
    </row>
    <row r="396" spans="41:41" x14ac:dyDescent="0.45">
      <c r="AO396">
        <v>0.41489549999999997</v>
      </c>
    </row>
    <row r="397" spans="41:41" x14ac:dyDescent="0.45">
      <c r="AO397">
        <v>0.25884849999999998</v>
      </c>
    </row>
    <row r="398" spans="41:41" x14ac:dyDescent="0.45">
      <c r="AO398">
        <v>0.19601550000000001</v>
      </c>
    </row>
    <row r="399" spans="41:41" x14ac:dyDescent="0.45">
      <c r="AO399">
        <v>0.5248545</v>
      </c>
    </row>
    <row r="400" spans="41:41" x14ac:dyDescent="0.45">
      <c r="AO400">
        <v>0.52408750000000004</v>
      </c>
    </row>
    <row r="401" spans="41:41" x14ac:dyDescent="0.45">
      <c r="AO401">
        <v>5.5362499999999995E-2</v>
      </c>
    </row>
    <row r="402" spans="41:41" x14ac:dyDescent="0.45">
      <c r="AO402">
        <v>0.16504750000000001</v>
      </c>
    </row>
    <row r="403" spans="41:41" x14ac:dyDescent="0.45">
      <c r="AO403">
        <v>0.41561949999999998</v>
      </c>
    </row>
    <row r="404" spans="41:41" x14ac:dyDescent="0.45">
      <c r="AO404">
        <v>0.38340150000000001</v>
      </c>
    </row>
    <row r="405" spans="41:41" x14ac:dyDescent="0.45">
      <c r="AO405">
        <v>0.35191749999999999</v>
      </c>
    </row>
    <row r="406" spans="41:41" x14ac:dyDescent="0.45">
      <c r="AO406">
        <v>8.4634999999999988E-3</v>
      </c>
    </row>
    <row r="407" spans="41:41" x14ac:dyDescent="0.45">
      <c r="AO407">
        <v>0.97731900000000005</v>
      </c>
    </row>
    <row r="408" spans="41:41" x14ac:dyDescent="0.45">
      <c r="AO408">
        <v>0.66501849999999996</v>
      </c>
    </row>
    <row r="409" spans="41:41" x14ac:dyDescent="0.45">
      <c r="AO409">
        <v>7.091349999999999E-2</v>
      </c>
    </row>
    <row r="410" spans="41:41" x14ac:dyDescent="0.45">
      <c r="AO410">
        <v>0.25878049999999997</v>
      </c>
    </row>
    <row r="411" spans="41:41" x14ac:dyDescent="0.45">
      <c r="AO411">
        <v>0.58644499999999999</v>
      </c>
    </row>
    <row r="412" spans="41:41" x14ac:dyDescent="0.45">
      <c r="AO412">
        <v>0.94591650000000005</v>
      </c>
    </row>
    <row r="413" spans="41:41" x14ac:dyDescent="0.45">
      <c r="AO413">
        <v>0.102822</v>
      </c>
    </row>
    <row r="414" spans="41:41" hidden="1" x14ac:dyDescent="0.45">
      <c r="AO414">
        <v>0</v>
      </c>
    </row>
    <row r="415" spans="41:41" hidden="1" x14ac:dyDescent="0.45">
      <c r="AO415">
        <v>0</v>
      </c>
    </row>
    <row r="416" spans="41:41" hidden="1" x14ac:dyDescent="0.45">
      <c r="AO416">
        <v>0</v>
      </c>
    </row>
    <row r="417" spans="41:41" hidden="1" x14ac:dyDescent="0.45">
      <c r="AO417">
        <v>0</v>
      </c>
    </row>
    <row r="418" spans="41:41" hidden="1" x14ac:dyDescent="0.45">
      <c r="AO418">
        <v>0</v>
      </c>
    </row>
    <row r="419" spans="41:41" hidden="1" x14ac:dyDescent="0.45">
      <c r="AO419">
        <v>0</v>
      </c>
    </row>
    <row r="420" spans="41:41" x14ac:dyDescent="0.45">
      <c r="AO420">
        <v>0.2582875</v>
      </c>
    </row>
    <row r="421" spans="41:41" x14ac:dyDescent="0.45">
      <c r="AO421">
        <v>3.9521500000000001E-2</v>
      </c>
    </row>
    <row r="422" spans="41:41" x14ac:dyDescent="0.45">
      <c r="AO422">
        <v>0.9145875</v>
      </c>
    </row>
    <row r="423" spans="41:41" x14ac:dyDescent="0.45">
      <c r="AO423">
        <v>2.4058E-2</v>
      </c>
    </row>
    <row r="424" spans="41:41" x14ac:dyDescent="0.45">
      <c r="AO424">
        <v>0.664821</v>
      </c>
    </row>
    <row r="425" spans="41:41" x14ac:dyDescent="0.45">
      <c r="AO425">
        <v>0.25812999999999997</v>
      </c>
    </row>
    <row r="426" spans="41:41" x14ac:dyDescent="0.45">
      <c r="AO426">
        <v>0.29080149999999999</v>
      </c>
    </row>
    <row r="427" spans="41:41" x14ac:dyDescent="0.45">
      <c r="AO427">
        <v>0.35263949999999999</v>
      </c>
    </row>
    <row r="428" spans="41:41" x14ac:dyDescent="0.45">
      <c r="AO428">
        <v>0.60245649999999995</v>
      </c>
    </row>
    <row r="429" spans="41:41" x14ac:dyDescent="0.45">
      <c r="AO429">
        <v>0.50851500000000005</v>
      </c>
    </row>
    <row r="430" spans="41:41" x14ac:dyDescent="0.45">
      <c r="AO430">
        <v>0.72735050000000001</v>
      </c>
    </row>
    <row r="431" spans="41:41" x14ac:dyDescent="0.45">
      <c r="AO431">
        <v>3.9577500000000002E-2</v>
      </c>
    </row>
    <row r="432" spans="41:41" x14ac:dyDescent="0.45">
      <c r="AO432">
        <v>0.47730899999999998</v>
      </c>
    </row>
    <row r="433" spans="41:41" x14ac:dyDescent="0.45">
      <c r="AO433">
        <v>0.4624625</v>
      </c>
    </row>
    <row r="434" spans="41:41" x14ac:dyDescent="0.45">
      <c r="AO434">
        <v>0.38341950000000002</v>
      </c>
    </row>
    <row r="435" spans="41:41" x14ac:dyDescent="0.45">
      <c r="AO435">
        <v>0.9458915</v>
      </c>
    </row>
    <row r="436" spans="41:41" x14ac:dyDescent="0.45">
      <c r="AO436">
        <v>0.33666950000000001</v>
      </c>
    </row>
    <row r="437" spans="41:41" x14ac:dyDescent="0.45">
      <c r="AO437">
        <v>0.39925900000000003</v>
      </c>
    </row>
    <row r="438" spans="41:41" hidden="1" x14ac:dyDescent="0.45">
      <c r="AO438">
        <v>0</v>
      </c>
    </row>
    <row r="439" spans="41:41" hidden="1" x14ac:dyDescent="0.45">
      <c r="AO439">
        <v>0</v>
      </c>
    </row>
    <row r="440" spans="41:41" hidden="1" x14ac:dyDescent="0.45">
      <c r="AO440">
        <v>0</v>
      </c>
    </row>
    <row r="441" spans="41:41" hidden="1" x14ac:dyDescent="0.45">
      <c r="AO441">
        <v>0</v>
      </c>
    </row>
    <row r="442" spans="41:41" hidden="1" x14ac:dyDescent="0.45">
      <c r="AO442">
        <v>0</v>
      </c>
    </row>
    <row r="443" spans="41:41" x14ac:dyDescent="0.45">
      <c r="AO443">
        <v>0.2132435</v>
      </c>
    </row>
    <row r="444" spans="41:41" x14ac:dyDescent="0.45">
      <c r="AO444">
        <v>0.45382100000000003</v>
      </c>
    </row>
    <row r="445" spans="41:41" x14ac:dyDescent="0.45">
      <c r="AO445">
        <v>0.28976999999999997</v>
      </c>
    </row>
    <row r="446" spans="41:41" x14ac:dyDescent="0.45">
      <c r="AO446">
        <v>0.32113849999999999</v>
      </c>
    </row>
    <row r="447" spans="41:41" x14ac:dyDescent="0.45">
      <c r="AO447">
        <v>0.85260350000000007</v>
      </c>
    </row>
    <row r="448" spans="41:41" x14ac:dyDescent="0.45">
      <c r="AO448">
        <v>0.41459550000000001</v>
      </c>
    </row>
    <row r="449" spans="41:41" x14ac:dyDescent="0.45">
      <c r="AO449">
        <v>0.28931649999999998</v>
      </c>
    </row>
    <row r="450" spans="41:41" x14ac:dyDescent="0.45">
      <c r="AO450">
        <v>0.384021</v>
      </c>
    </row>
    <row r="451" spans="41:41" x14ac:dyDescent="0.45">
      <c r="AO451">
        <v>0.78936549999999994</v>
      </c>
    </row>
    <row r="452" spans="41:41" x14ac:dyDescent="0.45">
      <c r="AO452">
        <v>0.82101950000000001</v>
      </c>
    </row>
    <row r="453" spans="41:41" x14ac:dyDescent="0.45">
      <c r="AO453">
        <v>0.94581300000000001</v>
      </c>
    </row>
    <row r="454" spans="41:41" x14ac:dyDescent="0.45">
      <c r="AO454">
        <v>0.101883</v>
      </c>
    </row>
    <row r="455" spans="41:41" x14ac:dyDescent="0.45">
      <c r="AO455">
        <v>0.2899275</v>
      </c>
    </row>
    <row r="456" spans="41:41" x14ac:dyDescent="0.45">
      <c r="AO456">
        <v>0.66581850000000009</v>
      </c>
    </row>
    <row r="457" spans="41:41" x14ac:dyDescent="0.45">
      <c r="AO457">
        <v>0.89989249999999998</v>
      </c>
    </row>
    <row r="458" spans="41:41" x14ac:dyDescent="0.45">
      <c r="AO458">
        <v>0.58675549999999999</v>
      </c>
    </row>
    <row r="459" spans="41:41" x14ac:dyDescent="0.45">
      <c r="AO459">
        <v>0.25886549999999997</v>
      </c>
    </row>
    <row r="460" spans="41:41" x14ac:dyDescent="0.45">
      <c r="AO460">
        <v>0.39941850000000001</v>
      </c>
    </row>
    <row r="461" spans="41:41" x14ac:dyDescent="0.45">
      <c r="AO461">
        <v>0.914906</v>
      </c>
    </row>
    <row r="462" spans="41:41" hidden="1" x14ac:dyDescent="0.45">
      <c r="AO462">
        <v>0</v>
      </c>
    </row>
    <row r="463" spans="41:41" hidden="1" x14ac:dyDescent="0.45">
      <c r="AO463">
        <v>0</v>
      </c>
    </row>
    <row r="464" spans="41:41" hidden="1" x14ac:dyDescent="0.45">
      <c r="AO464">
        <v>0</v>
      </c>
    </row>
    <row r="465" spans="41:41" hidden="1" x14ac:dyDescent="0.45">
      <c r="AO465">
        <v>0</v>
      </c>
    </row>
    <row r="466" spans="41:41" hidden="1" x14ac:dyDescent="0.45">
      <c r="AO466">
        <v>0</v>
      </c>
    </row>
    <row r="467" spans="41:41" hidden="1" x14ac:dyDescent="0.45">
      <c r="AO467">
        <v>0</v>
      </c>
    </row>
    <row r="468" spans="41:41" hidden="1" x14ac:dyDescent="0.45">
      <c r="AO468">
        <v>0</v>
      </c>
    </row>
    <row r="469" spans="41:41" hidden="1" x14ac:dyDescent="0.45">
      <c r="AO469">
        <v>0</v>
      </c>
    </row>
    <row r="470" spans="41:41" hidden="1" x14ac:dyDescent="0.45">
      <c r="AO470">
        <v>0</v>
      </c>
    </row>
    <row r="471" spans="41:41" hidden="1" x14ac:dyDescent="0.45">
      <c r="AO471">
        <v>0</v>
      </c>
    </row>
    <row r="472" spans="41:41" hidden="1" x14ac:dyDescent="0.45">
      <c r="AO472">
        <v>0</v>
      </c>
    </row>
    <row r="473" spans="41:41" hidden="1" x14ac:dyDescent="0.45">
      <c r="AO473">
        <v>0</v>
      </c>
    </row>
    <row r="474" spans="41:41" hidden="1" x14ac:dyDescent="0.45">
      <c r="AO474">
        <v>0</v>
      </c>
    </row>
    <row r="475" spans="41:41" hidden="1" x14ac:dyDescent="0.45">
      <c r="AO475">
        <v>0</v>
      </c>
    </row>
    <row r="476" spans="41:41" hidden="1" x14ac:dyDescent="0.45">
      <c r="AO476">
        <v>0</v>
      </c>
    </row>
    <row r="477" spans="41:41" hidden="1" x14ac:dyDescent="0.45">
      <c r="AO477">
        <v>0</v>
      </c>
    </row>
    <row r="478" spans="41:41" hidden="1" x14ac:dyDescent="0.45">
      <c r="AO478">
        <v>0</v>
      </c>
    </row>
    <row r="479" spans="41:41" hidden="1" x14ac:dyDescent="0.45">
      <c r="AO479">
        <v>0</v>
      </c>
    </row>
    <row r="480" spans="41:41" hidden="1" x14ac:dyDescent="0.45">
      <c r="AO480">
        <v>0</v>
      </c>
    </row>
    <row r="481" spans="41:41" hidden="1" x14ac:dyDescent="0.45">
      <c r="AO481">
        <v>0</v>
      </c>
    </row>
    <row r="482" spans="41:41" hidden="1" x14ac:dyDescent="0.45">
      <c r="AO482">
        <v>0</v>
      </c>
    </row>
    <row r="483" spans="41:41" hidden="1" x14ac:dyDescent="0.45">
      <c r="AO483">
        <v>0</v>
      </c>
    </row>
    <row r="484" spans="41:41" hidden="1" x14ac:dyDescent="0.45">
      <c r="AO484">
        <v>0</v>
      </c>
    </row>
    <row r="485" spans="41:41" hidden="1" x14ac:dyDescent="0.45">
      <c r="AO485">
        <v>0</v>
      </c>
    </row>
    <row r="486" spans="41:41" hidden="1" x14ac:dyDescent="0.45">
      <c r="AO486">
        <v>0</v>
      </c>
    </row>
    <row r="487" spans="41:41" hidden="1" x14ac:dyDescent="0.45">
      <c r="AO487">
        <v>0</v>
      </c>
    </row>
    <row r="488" spans="41:41" hidden="1" x14ac:dyDescent="0.45">
      <c r="AO488">
        <v>0</v>
      </c>
    </row>
    <row r="489" spans="41:41" hidden="1" x14ac:dyDescent="0.45">
      <c r="AO489">
        <v>0</v>
      </c>
    </row>
    <row r="490" spans="41:41" hidden="1" x14ac:dyDescent="0.45">
      <c r="AO490">
        <v>0</v>
      </c>
    </row>
    <row r="491" spans="41:41" hidden="1" x14ac:dyDescent="0.45">
      <c r="AO491">
        <v>0</v>
      </c>
    </row>
    <row r="492" spans="41:41" hidden="1" x14ac:dyDescent="0.45">
      <c r="AO492">
        <v>0</v>
      </c>
    </row>
    <row r="493" spans="41:41" hidden="1" x14ac:dyDescent="0.45">
      <c r="AO493">
        <v>0</v>
      </c>
    </row>
    <row r="494" spans="41:41" hidden="1" x14ac:dyDescent="0.45">
      <c r="AO494">
        <v>0</v>
      </c>
    </row>
    <row r="495" spans="41:41" hidden="1" x14ac:dyDescent="0.45">
      <c r="AO495">
        <v>0</v>
      </c>
    </row>
    <row r="496" spans="41:41" hidden="1" x14ac:dyDescent="0.45">
      <c r="AO496">
        <v>0</v>
      </c>
    </row>
    <row r="497" spans="41:41" hidden="1" x14ac:dyDescent="0.45">
      <c r="AO497">
        <v>0</v>
      </c>
    </row>
    <row r="498" spans="41:41" hidden="1" x14ac:dyDescent="0.45">
      <c r="AO498">
        <v>0</v>
      </c>
    </row>
    <row r="499" spans="41:41" hidden="1" x14ac:dyDescent="0.45">
      <c r="AO499">
        <v>0</v>
      </c>
    </row>
    <row r="500" spans="41:41" hidden="1" x14ac:dyDescent="0.45">
      <c r="AO500">
        <v>0</v>
      </c>
    </row>
    <row r="501" spans="41:41" hidden="1" x14ac:dyDescent="0.45">
      <c r="AO501">
        <v>0</v>
      </c>
    </row>
    <row r="502" spans="41:41" hidden="1" x14ac:dyDescent="0.45">
      <c r="AO502">
        <v>0</v>
      </c>
    </row>
    <row r="503" spans="41:41" hidden="1" x14ac:dyDescent="0.45">
      <c r="AO503">
        <v>0</v>
      </c>
    </row>
    <row r="504" spans="41:41" hidden="1" x14ac:dyDescent="0.45">
      <c r="AO504">
        <v>0</v>
      </c>
    </row>
    <row r="505" spans="41:41" hidden="1" x14ac:dyDescent="0.45">
      <c r="AO505">
        <v>0</v>
      </c>
    </row>
    <row r="506" spans="41:41" hidden="1" x14ac:dyDescent="0.45">
      <c r="AO506">
        <v>0</v>
      </c>
    </row>
    <row r="507" spans="41:41" hidden="1" x14ac:dyDescent="0.45">
      <c r="AO507">
        <v>0</v>
      </c>
    </row>
    <row r="508" spans="41:41" hidden="1" x14ac:dyDescent="0.45">
      <c r="AO508">
        <v>0</v>
      </c>
    </row>
    <row r="509" spans="41:41" hidden="1" x14ac:dyDescent="0.45">
      <c r="AO509">
        <v>0</v>
      </c>
    </row>
    <row r="510" spans="41:41" hidden="1" x14ac:dyDescent="0.45">
      <c r="AO510">
        <v>0</v>
      </c>
    </row>
    <row r="511" spans="41:41" hidden="1" x14ac:dyDescent="0.45">
      <c r="AO511">
        <v>0</v>
      </c>
    </row>
    <row r="512" spans="41:41" hidden="1" x14ac:dyDescent="0.45">
      <c r="AO512">
        <v>0</v>
      </c>
    </row>
    <row r="513" spans="41:41" hidden="1" x14ac:dyDescent="0.45">
      <c r="AO513">
        <v>0</v>
      </c>
    </row>
    <row r="514" spans="41:41" hidden="1" x14ac:dyDescent="0.45">
      <c r="AO514">
        <v>0</v>
      </c>
    </row>
    <row r="515" spans="41:41" hidden="1" x14ac:dyDescent="0.45">
      <c r="AO515">
        <v>0</v>
      </c>
    </row>
    <row r="516" spans="41:41" hidden="1" x14ac:dyDescent="0.45">
      <c r="AO516">
        <v>0</v>
      </c>
    </row>
    <row r="517" spans="41:41" hidden="1" x14ac:dyDescent="0.45">
      <c r="AO517">
        <v>0</v>
      </c>
    </row>
    <row r="518" spans="41:41" hidden="1" x14ac:dyDescent="0.45">
      <c r="AO518">
        <v>0</v>
      </c>
    </row>
    <row r="519" spans="41:41" hidden="1" x14ac:dyDescent="0.45">
      <c r="AO519">
        <v>0</v>
      </c>
    </row>
    <row r="520" spans="41:41" hidden="1" x14ac:dyDescent="0.45">
      <c r="AO520">
        <v>0</v>
      </c>
    </row>
    <row r="521" spans="41:41" hidden="1" x14ac:dyDescent="0.45">
      <c r="AO521">
        <v>0</v>
      </c>
    </row>
    <row r="522" spans="41:41" hidden="1" x14ac:dyDescent="0.45">
      <c r="AO522">
        <v>0</v>
      </c>
    </row>
    <row r="523" spans="41:41" hidden="1" x14ac:dyDescent="0.45">
      <c r="AO523">
        <v>0</v>
      </c>
    </row>
    <row r="524" spans="41:41" hidden="1" x14ac:dyDescent="0.45">
      <c r="AO524">
        <v>0</v>
      </c>
    </row>
    <row r="525" spans="41:41" hidden="1" x14ac:dyDescent="0.45">
      <c r="AO525">
        <v>0</v>
      </c>
    </row>
    <row r="526" spans="41:41" hidden="1" x14ac:dyDescent="0.45">
      <c r="AO526">
        <v>0</v>
      </c>
    </row>
    <row r="527" spans="41:41" hidden="1" x14ac:dyDescent="0.45">
      <c r="AO527">
        <v>0</v>
      </c>
    </row>
    <row r="528" spans="41:41" hidden="1" x14ac:dyDescent="0.45">
      <c r="AO528">
        <v>0</v>
      </c>
    </row>
    <row r="529" spans="41:41" hidden="1" x14ac:dyDescent="0.45">
      <c r="AO529">
        <v>0</v>
      </c>
    </row>
    <row r="530" spans="41:41" hidden="1" x14ac:dyDescent="0.45">
      <c r="AO530">
        <v>0</v>
      </c>
    </row>
    <row r="531" spans="41:41" hidden="1" x14ac:dyDescent="0.45">
      <c r="AO531">
        <v>0</v>
      </c>
    </row>
    <row r="532" spans="41:41" hidden="1" x14ac:dyDescent="0.45">
      <c r="AO532">
        <v>0</v>
      </c>
    </row>
    <row r="533" spans="41:41" hidden="1" x14ac:dyDescent="0.45">
      <c r="AO533">
        <v>0</v>
      </c>
    </row>
    <row r="534" spans="41:41" hidden="1" x14ac:dyDescent="0.45">
      <c r="AO534">
        <v>0</v>
      </c>
    </row>
    <row r="535" spans="41:41" hidden="1" x14ac:dyDescent="0.45">
      <c r="AO535">
        <v>0</v>
      </c>
    </row>
    <row r="536" spans="41:41" hidden="1" x14ac:dyDescent="0.45">
      <c r="AO536">
        <v>0</v>
      </c>
    </row>
    <row r="537" spans="41:41" hidden="1" x14ac:dyDescent="0.45">
      <c r="AO537">
        <v>0</v>
      </c>
    </row>
    <row r="538" spans="41:41" hidden="1" x14ac:dyDescent="0.45">
      <c r="AO538">
        <v>0</v>
      </c>
    </row>
    <row r="539" spans="41:41" hidden="1" x14ac:dyDescent="0.45">
      <c r="AO539">
        <v>0</v>
      </c>
    </row>
    <row r="540" spans="41:41" hidden="1" x14ac:dyDescent="0.45">
      <c r="AO540">
        <v>0</v>
      </c>
    </row>
    <row r="541" spans="41:41" hidden="1" x14ac:dyDescent="0.45">
      <c r="AO541">
        <v>0</v>
      </c>
    </row>
    <row r="542" spans="41:41" hidden="1" x14ac:dyDescent="0.45">
      <c r="AO542">
        <v>0</v>
      </c>
    </row>
    <row r="543" spans="41:41" hidden="1" x14ac:dyDescent="0.45">
      <c r="AO543">
        <v>0</v>
      </c>
    </row>
    <row r="544" spans="41:41" hidden="1" x14ac:dyDescent="0.45">
      <c r="AO544">
        <v>0</v>
      </c>
    </row>
    <row r="545" spans="41:41" hidden="1" x14ac:dyDescent="0.45">
      <c r="AO545">
        <v>0</v>
      </c>
    </row>
    <row r="546" spans="41:41" hidden="1" x14ac:dyDescent="0.45">
      <c r="AO546">
        <v>0</v>
      </c>
    </row>
    <row r="547" spans="41:41" hidden="1" x14ac:dyDescent="0.45">
      <c r="AO547">
        <v>0</v>
      </c>
    </row>
    <row r="548" spans="41:41" hidden="1" x14ac:dyDescent="0.45">
      <c r="AO548">
        <v>0</v>
      </c>
    </row>
    <row r="549" spans="41:41" hidden="1" x14ac:dyDescent="0.45">
      <c r="AO549">
        <v>0</v>
      </c>
    </row>
    <row r="550" spans="41:41" hidden="1" x14ac:dyDescent="0.45">
      <c r="AO550">
        <v>0</v>
      </c>
    </row>
    <row r="551" spans="41:41" hidden="1" x14ac:dyDescent="0.45">
      <c r="AO551">
        <v>0</v>
      </c>
    </row>
    <row r="552" spans="41:41" hidden="1" x14ac:dyDescent="0.45">
      <c r="AO552">
        <v>0</v>
      </c>
    </row>
    <row r="553" spans="41:41" hidden="1" x14ac:dyDescent="0.45">
      <c r="AO553">
        <v>0</v>
      </c>
    </row>
    <row r="554" spans="41:41" hidden="1" x14ac:dyDescent="0.45">
      <c r="AO554">
        <v>0</v>
      </c>
    </row>
    <row r="555" spans="41:41" hidden="1" x14ac:dyDescent="0.45">
      <c r="AO555">
        <v>0</v>
      </c>
    </row>
    <row r="556" spans="41:41" hidden="1" x14ac:dyDescent="0.45">
      <c r="AO556">
        <v>0</v>
      </c>
    </row>
    <row r="557" spans="41:41" hidden="1" x14ac:dyDescent="0.45">
      <c r="AO557">
        <v>0</v>
      </c>
    </row>
    <row r="558" spans="41:41" hidden="1" x14ac:dyDescent="0.45">
      <c r="AO558">
        <v>0</v>
      </c>
    </row>
    <row r="559" spans="41:41" hidden="1" x14ac:dyDescent="0.45">
      <c r="AO559">
        <v>0</v>
      </c>
    </row>
    <row r="560" spans="41:41" hidden="1" x14ac:dyDescent="0.45">
      <c r="AO560">
        <v>0</v>
      </c>
    </row>
    <row r="561" spans="41:41" hidden="1" x14ac:dyDescent="0.45">
      <c r="AO561">
        <v>0</v>
      </c>
    </row>
    <row r="562" spans="41:41" hidden="1" x14ac:dyDescent="0.45">
      <c r="AO562">
        <v>0</v>
      </c>
    </row>
    <row r="563" spans="41:41" hidden="1" x14ac:dyDescent="0.45">
      <c r="AO563">
        <v>0</v>
      </c>
    </row>
    <row r="564" spans="41:41" hidden="1" x14ac:dyDescent="0.45">
      <c r="AO564">
        <v>0</v>
      </c>
    </row>
    <row r="565" spans="41:41" hidden="1" x14ac:dyDescent="0.45">
      <c r="AO565">
        <v>0</v>
      </c>
    </row>
    <row r="566" spans="41:41" hidden="1" x14ac:dyDescent="0.45">
      <c r="AO566">
        <v>0</v>
      </c>
    </row>
    <row r="567" spans="41:41" hidden="1" x14ac:dyDescent="0.45">
      <c r="AO567">
        <v>0</v>
      </c>
    </row>
    <row r="568" spans="41:41" hidden="1" x14ac:dyDescent="0.45">
      <c r="AO568">
        <v>0</v>
      </c>
    </row>
    <row r="569" spans="41:41" hidden="1" x14ac:dyDescent="0.45">
      <c r="AO569">
        <v>0</v>
      </c>
    </row>
    <row r="570" spans="41:41" hidden="1" x14ac:dyDescent="0.45">
      <c r="AO570">
        <v>0</v>
      </c>
    </row>
    <row r="571" spans="41:41" hidden="1" x14ac:dyDescent="0.45">
      <c r="AO571">
        <v>0</v>
      </c>
    </row>
    <row r="572" spans="41:41" hidden="1" x14ac:dyDescent="0.45">
      <c r="AO572">
        <v>0</v>
      </c>
    </row>
    <row r="573" spans="41:41" hidden="1" x14ac:dyDescent="0.45">
      <c r="AO573">
        <v>0</v>
      </c>
    </row>
    <row r="574" spans="41:41" hidden="1" x14ac:dyDescent="0.45">
      <c r="AO574">
        <v>0</v>
      </c>
    </row>
    <row r="575" spans="41:41" hidden="1" x14ac:dyDescent="0.45">
      <c r="AO575">
        <v>0</v>
      </c>
    </row>
    <row r="576" spans="41:41" hidden="1" x14ac:dyDescent="0.45">
      <c r="AO576">
        <v>0</v>
      </c>
    </row>
    <row r="577" spans="41:41" hidden="1" x14ac:dyDescent="0.45">
      <c r="AO577">
        <v>0</v>
      </c>
    </row>
    <row r="578" spans="41:41" hidden="1" x14ac:dyDescent="0.45">
      <c r="AO578">
        <v>0</v>
      </c>
    </row>
    <row r="579" spans="41:41" hidden="1" x14ac:dyDescent="0.45">
      <c r="AO579">
        <v>0</v>
      </c>
    </row>
    <row r="580" spans="41:41" hidden="1" x14ac:dyDescent="0.45">
      <c r="AO580">
        <v>0</v>
      </c>
    </row>
    <row r="581" spans="41:41" hidden="1" x14ac:dyDescent="0.45">
      <c r="AO581">
        <v>0</v>
      </c>
    </row>
    <row r="582" spans="41:41" hidden="1" x14ac:dyDescent="0.45">
      <c r="AO582">
        <v>0</v>
      </c>
    </row>
    <row r="583" spans="41:41" hidden="1" x14ac:dyDescent="0.45">
      <c r="AO583">
        <v>0</v>
      </c>
    </row>
    <row r="584" spans="41:41" hidden="1" x14ac:dyDescent="0.45">
      <c r="AO584">
        <v>0</v>
      </c>
    </row>
    <row r="585" spans="41:41" hidden="1" x14ac:dyDescent="0.45">
      <c r="AO585">
        <v>0</v>
      </c>
    </row>
    <row r="586" spans="41:41" hidden="1" x14ac:dyDescent="0.45">
      <c r="AO586">
        <v>0</v>
      </c>
    </row>
    <row r="587" spans="41:41" hidden="1" x14ac:dyDescent="0.45">
      <c r="AO587">
        <v>0</v>
      </c>
    </row>
    <row r="588" spans="41:41" hidden="1" x14ac:dyDescent="0.45">
      <c r="AO588">
        <v>0</v>
      </c>
    </row>
    <row r="589" spans="41:41" hidden="1" x14ac:dyDescent="0.45">
      <c r="AO589">
        <v>0</v>
      </c>
    </row>
    <row r="590" spans="41:41" hidden="1" x14ac:dyDescent="0.45">
      <c r="AO590">
        <v>0</v>
      </c>
    </row>
    <row r="591" spans="41:41" hidden="1" x14ac:dyDescent="0.45">
      <c r="AO591">
        <v>0</v>
      </c>
    </row>
    <row r="592" spans="41:41" hidden="1" x14ac:dyDescent="0.45">
      <c r="AO592">
        <v>0</v>
      </c>
    </row>
    <row r="593" spans="41:41" hidden="1" x14ac:dyDescent="0.45">
      <c r="AO593">
        <v>0</v>
      </c>
    </row>
    <row r="594" spans="41:41" hidden="1" x14ac:dyDescent="0.45">
      <c r="AO594">
        <v>0</v>
      </c>
    </row>
    <row r="595" spans="41:41" hidden="1" x14ac:dyDescent="0.45">
      <c r="AO595">
        <v>0</v>
      </c>
    </row>
    <row r="596" spans="41:41" hidden="1" x14ac:dyDescent="0.45">
      <c r="AO596">
        <v>0</v>
      </c>
    </row>
    <row r="597" spans="41:41" x14ac:dyDescent="0.45">
      <c r="AO597" cm="1">
        <f t="array" ref="AO597:AO894">Calibrated!N3:N300</f>
        <v>0.18037549999999999</v>
      </c>
    </row>
    <row r="598" spans="41:41" x14ac:dyDescent="0.45">
      <c r="AO598">
        <v>0.19612849999999998</v>
      </c>
    </row>
    <row r="599" spans="41:41" x14ac:dyDescent="0.45">
      <c r="AO599">
        <v>0.82140349999999995</v>
      </c>
    </row>
    <row r="600" spans="41:41" x14ac:dyDescent="0.45">
      <c r="AO600">
        <v>0.1801045</v>
      </c>
    </row>
    <row r="601" spans="41:41" x14ac:dyDescent="0.45">
      <c r="AO601">
        <v>0.53930199999999995</v>
      </c>
    </row>
    <row r="602" spans="41:41" x14ac:dyDescent="0.45">
      <c r="AO602">
        <v>0.7427705</v>
      </c>
    </row>
    <row r="603" spans="41:41" x14ac:dyDescent="0.45">
      <c r="AO603">
        <v>0.57097050000000005</v>
      </c>
    </row>
    <row r="604" spans="41:41" x14ac:dyDescent="0.45">
      <c r="AO604">
        <v>0.32141299999999995</v>
      </c>
    </row>
    <row r="605" spans="41:41" x14ac:dyDescent="0.45">
      <c r="AO605">
        <v>0.1178705</v>
      </c>
    </row>
    <row r="606" spans="41:41" x14ac:dyDescent="0.45">
      <c r="AO606">
        <v>0.82129000000000008</v>
      </c>
    </row>
    <row r="607" spans="41:41" x14ac:dyDescent="0.45">
      <c r="AO607">
        <v>0.52414749999999999</v>
      </c>
    </row>
    <row r="608" spans="41:41" x14ac:dyDescent="0.45">
      <c r="AO608">
        <v>0.64938300000000004</v>
      </c>
    </row>
    <row r="609" spans="41:41" x14ac:dyDescent="0.45">
      <c r="AO609">
        <v>8.6587499999999998E-2</v>
      </c>
    </row>
    <row r="610" spans="41:41" x14ac:dyDescent="0.45">
      <c r="AO610">
        <v>0.72732799999999997</v>
      </c>
    </row>
    <row r="611" spans="41:41" x14ac:dyDescent="0.45">
      <c r="AO611">
        <v>0.5394485</v>
      </c>
    </row>
    <row r="612" spans="41:41" hidden="1" x14ac:dyDescent="0.45">
      <c r="AO612">
        <v>0</v>
      </c>
    </row>
    <row r="613" spans="41:41" hidden="1" x14ac:dyDescent="0.45">
      <c r="AO613">
        <v>0</v>
      </c>
    </row>
    <row r="614" spans="41:41" hidden="1" x14ac:dyDescent="0.45">
      <c r="AO614">
        <v>0</v>
      </c>
    </row>
    <row r="615" spans="41:41" hidden="1" x14ac:dyDescent="0.45">
      <c r="AO615">
        <v>0</v>
      </c>
    </row>
    <row r="616" spans="41:41" hidden="1" x14ac:dyDescent="0.45">
      <c r="AO616">
        <v>0</v>
      </c>
    </row>
    <row r="617" spans="41:41" hidden="1" x14ac:dyDescent="0.45">
      <c r="AO617">
        <v>0</v>
      </c>
    </row>
    <row r="618" spans="41:41" hidden="1" x14ac:dyDescent="0.45">
      <c r="AO618">
        <v>0</v>
      </c>
    </row>
    <row r="619" spans="41:41" hidden="1" x14ac:dyDescent="0.45">
      <c r="AO619">
        <v>0</v>
      </c>
    </row>
    <row r="620" spans="41:41" hidden="1" x14ac:dyDescent="0.45">
      <c r="AO620">
        <v>0</v>
      </c>
    </row>
    <row r="621" spans="41:41" x14ac:dyDescent="0.45">
      <c r="AO621">
        <v>0.1962235</v>
      </c>
    </row>
    <row r="622" spans="41:41" x14ac:dyDescent="0.45">
      <c r="AO622">
        <v>0.69615950000000004</v>
      </c>
    </row>
    <row r="623" spans="41:41" x14ac:dyDescent="0.45">
      <c r="AO623">
        <v>0.91473300000000002</v>
      </c>
    </row>
    <row r="624" spans="41:41" x14ac:dyDescent="0.45">
      <c r="AO624">
        <v>8.350999999999999E-3</v>
      </c>
    </row>
    <row r="625" spans="41:41" x14ac:dyDescent="0.45">
      <c r="AO625">
        <v>0.149115</v>
      </c>
    </row>
    <row r="626" spans="41:41" x14ac:dyDescent="0.45">
      <c r="AO626">
        <v>0.80503150000000001</v>
      </c>
    </row>
    <row r="627" spans="41:41" x14ac:dyDescent="0.45">
      <c r="AO627">
        <v>0.320824</v>
      </c>
    </row>
    <row r="628" spans="41:41" x14ac:dyDescent="0.45">
      <c r="AO628">
        <v>0.85215599999999991</v>
      </c>
    </row>
    <row r="629" spans="41:41" x14ac:dyDescent="0.45">
      <c r="AO629">
        <v>0.3686025</v>
      </c>
    </row>
    <row r="630" spans="41:41" x14ac:dyDescent="0.45">
      <c r="AO630">
        <v>0.88328549999999995</v>
      </c>
    </row>
    <row r="631" spans="41:41" x14ac:dyDescent="0.45">
      <c r="AO631">
        <v>0.68065100000000001</v>
      </c>
    </row>
    <row r="632" spans="41:41" x14ac:dyDescent="0.45">
      <c r="AO632">
        <v>0.97739900000000002</v>
      </c>
    </row>
    <row r="633" spans="41:41" x14ac:dyDescent="0.45">
      <c r="AO633">
        <v>0.55559199999999997</v>
      </c>
    </row>
    <row r="634" spans="41:41" x14ac:dyDescent="0.45">
      <c r="AO634">
        <v>2.4007500000000001E-2</v>
      </c>
    </row>
    <row r="635" spans="41:41" hidden="1" x14ac:dyDescent="0.45">
      <c r="AO635">
        <v>0</v>
      </c>
    </row>
    <row r="636" spans="41:41" hidden="1" x14ac:dyDescent="0.45">
      <c r="AO636">
        <v>0</v>
      </c>
    </row>
    <row r="637" spans="41:41" hidden="1" x14ac:dyDescent="0.45">
      <c r="AO637">
        <v>0</v>
      </c>
    </row>
    <row r="638" spans="41:41" hidden="1" x14ac:dyDescent="0.45">
      <c r="AO638">
        <v>0</v>
      </c>
    </row>
    <row r="639" spans="41:41" hidden="1" x14ac:dyDescent="0.45">
      <c r="AO639">
        <v>0</v>
      </c>
    </row>
    <row r="640" spans="41:41" hidden="1" x14ac:dyDescent="0.45">
      <c r="AO640">
        <v>0</v>
      </c>
    </row>
    <row r="641" spans="41:41" hidden="1" x14ac:dyDescent="0.45">
      <c r="AO641">
        <v>0</v>
      </c>
    </row>
    <row r="642" spans="41:41" hidden="1" x14ac:dyDescent="0.45">
      <c r="AO642">
        <v>0</v>
      </c>
    </row>
    <row r="643" spans="41:41" hidden="1" x14ac:dyDescent="0.45">
      <c r="AO643">
        <v>0</v>
      </c>
    </row>
    <row r="644" spans="41:41" hidden="1" x14ac:dyDescent="0.45">
      <c r="AO644">
        <v>0</v>
      </c>
    </row>
    <row r="645" spans="41:41" x14ac:dyDescent="0.45">
      <c r="AO645">
        <v>0.321432</v>
      </c>
    </row>
    <row r="646" spans="41:41" x14ac:dyDescent="0.45">
      <c r="AO646">
        <v>0.85201099999999996</v>
      </c>
    </row>
    <row r="647" spans="41:41" x14ac:dyDescent="0.45">
      <c r="AO647">
        <v>7.12425E-2</v>
      </c>
    </row>
    <row r="648" spans="41:41" x14ac:dyDescent="0.45">
      <c r="AO648">
        <v>0.16462099999999999</v>
      </c>
    </row>
    <row r="649" spans="41:41" x14ac:dyDescent="0.45">
      <c r="AO649">
        <v>0.32145250000000003</v>
      </c>
    </row>
    <row r="650" spans="41:41" x14ac:dyDescent="0.45">
      <c r="AO650">
        <v>0.96159749999999999</v>
      </c>
    </row>
    <row r="651" spans="41:41" x14ac:dyDescent="0.45">
      <c r="AO651">
        <v>0.43071150000000002</v>
      </c>
    </row>
    <row r="652" spans="41:41" x14ac:dyDescent="0.45">
      <c r="AO652">
        <v>0.97746100000000002</v>
      </c>
    </row>
    <row r="653" spans="41:41" x14ac:dyDescent="0.45">
      <c r="AO653">
        <v>0.47752050000000001</v>
      </c>
    </row>
    <row r="654" spans="41:41" x14ac:dyDescent="0.45">
      <c r="AO654">
        <v>0.97698399999999996</v>
      </c>
    </row>
    <row r="655" spans="41:41" x14ac:dyDescent="0.45">
      <c r="AO655">
        <v>0.80515650000000005</v>
      </c>
    </row>
    <row r="656" spans="41:41" x14ac:dyDescent="0.45">
      <c r="AO656">
        <v>8.6832500000000007E-2</v>
      </c>
    </row>
    <row r="657" spans="41:41" x14ac:dyDescent="0.45">
      <c r="AO657">
        <v>0.53965649999999998</v>
      </c>
    </row>
    <row r="658" spans="41:41" x14ac:dyDescent="0.45">
      <c r="AO658">
        <v>2.4302999999999998E-2</v>
      </c>
    </row>
    <row r="659" spans="41:41" hidden="1" x14ac:dyDescent="0.45">
      <c r="AO659">
        <v>0</v>
      </c>
    </row>
    <row r="660" spans="41:41" hidden="1" x14ac:dyDescent="0.45">
      <c r="AO660">
        <v>0</v>
      </c>
    </row>
    <row r="661" spans="41:41" hidden="1" x14ac:dyDescent="0.45">
      <c r="AO661">
        <v>0</v>
      </c>
    </row>
    <row r="662" spans="41:41" hidden="1" x14ac:dyDescent="0.45">
      <c r="AO662">
        <v>0</v>
      </c>
    </row>
    <row r="663" spans="41:41" hidden="1" x14ac:dyDescent="0.45">
      <c r="AO663">
        <v>0</v>
      </c>
    </row>
    <row r="664" spans="41:41" hidden="1" x14ac:dyDescent="0.45">
      <c r="AO664">
        <v>0</v>
      </c>
    </row>
    <row r="665" spans="41:41" hidden="1" x14ac:dyDescent="0.45">
      <c r="AO665">
        <v>0</v>
      </c>
    </row>
    <row r="666" spans="41:41" hidden="1" x14ac:dyDescent="0.45">
      <c r="AO666">
        <v>0</v>
      </c>
    </row>
    <row r="667" spans="41:41" hidden="1" x14ac:dyDescent="0.45">
      <c r="AO667">
        <v>0</v>
      </c>
    </row>
    <row r="668" spans="41:41" hidden="1" x14ac:dyDescent="0.45">
      <c r="AO668">
        <v>0</v>
      </c>
    </row>
    <row r="669" spans="41:41" x14ac:dyDescent="0.45">
      <c r="AO669">
        <v>0.78959899999999994</v>
      </c>
    </row>
    <row r="670" spans="41:41" x14ac:dyDescent="0.45">
      <c r="AO670">
        <v>0.86795800000000001</v>
      </c>
    </row>
    <row r="671" spans="41:41" x14ac:dyDescent="0.45">
      <c r="AO671">
        <v>0.85177550000000002</v>
      </c>
    </row>
    <row r="672" spans="41:41" x14ac:dyDescent="0.45">
      <c r="AO672">
        <v>0.32160749999999999</v>
      </c>
    </row>
    <row r="673" spans="41:41" x14ac:dyDescent="0.45">
      <c r="AO673">
        <v>0.35261399999999998</v>
      </c>
    </row>
    <row r="674" spans="41:41" x14ac:dyDescent="0.45">
      <c r="AO674">
        <v>0.58644549999999995</v>
      </c>
    </row>
    <row r="675" spans="41:41" x14ac:dyDescent="0.45">
      <c r="AO675">
        <v>0.68044450000000001</v>
      </c>
    </row>
    <row r="676" spans="41:41" x14ac:dyDescent="0.45">
      <c r="AO676">
        <v>0.66493849999999999</v>
      </c>
    </row>
    <row r="677" spans="41:41" x14ac:dyDescent="0.45">
      <c r="AO677">
        <v>0.82087949999999998</v>
      </c>
    </row>
    <row r="678" spans="41:41" x14ac:dyDescent="0.45">
      <c r="AO678">
        <v>0.86798149999999996</v>
      </c>
    </row>
    <row r="679" spans="41:41" x14ac:dyDescent="0.45">
      <c r="AO679">
        <v>0.97700900000000002</v>
      </c>
    </row>
    <row r="680" spans="41:41" x14ac:dyDescent="0.45">
      <c r="AO680">
        <v>0.96185999999999994</v>
      </c>
    </row>
    <row r="681" spans="41:41" x14ac:dyDescent="0.45">
      <c r="AO681">
        <v>8.4564999999999987E-3</v>
      </c>
    </row>
    <row r="682" spans="41:41" x14ac:dyDescent="0.45">
      <c r="AO682">
        <v>0.99250949999999993</v>
      </c>
    </row>
    <row r="683" spans="41:41" hidden="1" x14ac:dyDescent="0.45">
      <c r="AO683">
        <v>0</v>
      </c>
    </row>
    <row r="684" spans="41:41" hidden="1" x14ac:dyDescent="0.45">
      <c r="AO684">
        <v>0</v>
      </c>
    </row>
    <row r="685" spans="41:41" hidden="1" x14ac:dyDescent="0.45">
      <c r="AO685">
        <v>0</v>
      </c>
    </row>
    <row r="686" spans="41:41" hidden="1" x14ac:dyDescent="0.45">
      <c r="AO686">
        <v>0</v>
      </c>
    </row>
    <row r="687" spans="41:41" hidden="1" x14ac:dyDescent="0.45">
      <c r="AO687">
        <v>0</v>
      </c>
    </row>
    <row r="688" spans="41:41" hidden="1" x14ac:dyDescent="0.45">
      <c r="AO688">
        <v>0</v>
      </c>
    </row>
    <row r="689" spans="41:41" hidden="1" x14ac:dyDescent="0.45">
      <c r="AO689">
        <v>0</v>
      </c>
    </row>
    <row r="690" spans="41:41" hidden="1" x14ac:dyDescent="0.45">
      <c r="AO690">
        <v>0</v>
      </c>
    </row>
    <row r="691" spans="41:41" hidden="1" x14ac:dyDescent="0.45">
      <c r="AO691">
        <v>0</v>
      </c>
    </row>
    <row r="692" spans="41:41" hidden="1" x14ac:dyDescent="0.45">
      <c r="AO692">
        <v>0</v>
      </c>
    </row>
    <row r="693" spans="41:41" x14ac:dyDescent="0.45">
      <c r="AO693">
        <v>0.38370949999999998</v>
      </c>
    </row>
    <row r="694" spans="41:41" x14ac:dyDescent="0.45">
      <c r="AO694">
        <v>0.53934799999999994</v>
      </c>
    </row>
    <row r="695" spans="41:41" x14ac:dyDescent="0.45">
      <c r="AO695">
        <v>8.8909999999999996E-3</v>
      </c>
    </row>
    <row r="696" spans="41:41" x14ac:dyDescent="0.45">
      <c r="AO696">
        <v>0.18034349999999999</v>
      </c>
    </row>
    <row r="697" spans="41:41" x14ac:dyDescent="0.45">
      <c r="AO697">
        <v>0.93035599999999996</v>
      </c>
    </row>
    <row r="698" spans="41:41" x14ac:dyDescent="0.45">
      <c r="AO698">
        <v>0.38400049999999997</v>
      </c>
    </row>
    <row r="699" spans="41:41" x14ac:dyDescent="0.45">
      <c r="AO699">
        <v>0.57133750000000005</v>
      </c>
    </row>
    <row r="700" spans="41:41" x14ac:dyDescent="0.45">
      <c r="AO700">
        <v>0.4304345</v>
      </c>
    </row>
    <row r="701" spans="41:41" x14ac:dyDescent="0.45">
      <c r="AO701">
        <v>0.63365950000000004</v>
      </c>
    </row>
    <row r="702" spans="41:41" x14ac:dyDescent="0.45">
      <c r="AO702">
        <v>0.74317799999999989</v>
      </c>
    </row>
    <row r="703" spans="41:41" x14ac:dyDescent="0.45">
      <c r="AO703">
        <v>0.38530050000000005</v>
      </c>
    </row>
    <row r="704" spans="41:41" x14ac:dyDescent="0.45">
      <c r="AO704">
        <v>0.75900499999999993</v>
      </c>
    </row>
    <row r="705" spans="41:41" x14ac:dyDescent="0.45">
      <c r="AO705">
        <v>0.97724499999999992</v>
      </c>
    </row>
    <row r="706" spans="41:41" x14ac:dyDescent="0.45">
      <c r="AO706">
        <v>0.94600400000000007</v>
      </c>
    </row>
    <row r="707" spans="41:41" hidden="1" x14ac:dyDescent="0.45">
      <c r="AO707">
        <v>0</v>
      </c>
    </row>
    <row r="708" spans="41:41" hidden="1" x14ac:dyDescent="0.45">
      <c r="AO708">
        <v>0</v>
      </c>
    </row>
    <row r="709" spans="41:41" hidden="1" x14ac:dyDescent="0.45">
      <c r="AO709">
        <v>0</v>
      </c>
    </row>
    <row r="710" spans="41:41" hidden="1" x14ac:dyDescent="0.45">
      <c r="AO710">
        <v>0</v>
      </c>
    </row>
    <row r="711" spans="41:41" hidden="1" x14ac:dyDescent="0.45">
      <c r="AO711">
        <v>0</v>
      </c>
    </row>
    <row r="712" spans="41:41" hidden="1" x14ac:dyDescent="0.45">
      <c r="AO712">
        <v>0</v>
      </c>
    </row>
    <row r="713" spans="41:41" hidden="1" x14ac:dyDescent="0.45">
      <c r="AO713">
        <v>0</v>
      </c>
    </row>
    <row r="714" spans="41:41" hidden="1" x14ac:dyDescent="0.45">
      <c r="AO714">
        <v>0</v>
      </c>
    </row>
    <row r="715" spans="41:41" hidden="1" x14ac:dyDescent="0.45">
      <c r="AO715">
        <v>0</v>
      </c>
    </row>
    <row r="716" spans="41:41" hidden="1" x14ac:dyDescent="0.45">
      <c r="AO716">
        <v>0</v>
      </c>
    </row>
    <row r="717" spans="41:41" x14ac:dyDescent="0.45">
      <c r="AO717">
        <v>0.89918699999999996</v>
      </c>
    </row>
    <row r="718" spans="41:41" x14ac:dyDescent="0.45">
      <c r="AO718">
        <v>0.63377649999999996</v>
      </c>
    </row>
    <row r="719" spans="41:41" x14ac:dyDescent="0.45">
      <c r="AO719">
        <v>0.91492949999999995</v>
      </c>
    </row>
    <row r="720" spans="41:41" x14ac:dyDescent="0.45">
      <c r="AO720">
        <v>0.50870300000000002</v>
      </c>
    </row>
    <row r="721" spans="41:41" x14ac:dyDescent="0.45">
      <c r="AO721">
        <v>5.5379999999999999E-2</v>
      </c>
    </row>
    <row r="722" spans="41:41" x14ac:dyDescent="0.45">
      <c r="AO722">
        <v>0.1023905</v>
      </c>
    </row>
    <row r="723" spans="41:41" x14ac:dyDescent="0.45">
      <c r="AO723">
        <v>0.88388449999999996</v>
      </c>
    </row>
    <row r="724" spans="41:41" x14ac:dyDescent="0.45">
      <c r="AO724">
        <v>0.1179365</v>
      </c>
    </row>
    <row r="725" spans="41:41" x14ac:dyDescent="0.45">
      <c r="AO725">
        <v>0.82133400000000001</v>
      </c>
    </row>
    <row r="726" spans="41:41" x14ac:dyDescent="0.45">
      <c r="AO726">
        <v>0.44583699999999998</v>
      </c>
    </row>
    <row r="727" spans="41:41" x14ac:dyDescent="0.45">
      <c r="AO727">
        <v>0.25868400000000003</v>
      </c>
    </row>
    <row r="728" spans="41:41" x14ac:dyDescent="0.45">
      <c r="AO728">
        <v>0.30529099999999998</v>
      </c>
    </row>
    <row r="729" spans="41:41" x14ac:dyDescent="0.45">
      <c r="AO729">
        <v>0.133829</v>
      </c>
    </row>
    <row r="730" spans="41:41" x14ac:dyDescent="0.45">
      <c r="AO730">
        <v>0.60224300000000008</v>
      </c>
    </row>
    <row r="731" spans="41:41" hidden="1" x14ac:dyDescent="0.45">
      <c r="AO731">
        <v>0</v>
      </c>
    </row>
    <row r="732" spans="41:41" hidden="1" x14ac:dyDescent="0.45">
      <c r="AO732">
        <v>0</v>
      </c>
    </row>
    <row r="733" spans="41:41" hidden="1" x14ac:dyDescent="0.45">
      <c r="AO733">
        <v>0</v>
      </c>
    </row>
    <row r="734" spans="41:41" hidden="1" x14ac:dyDescent="0.45">
      <c r="AO734">
        <v>0</v>
      </c>
    </row>
    <row r="735" spans="41:41" hidden="1" x14ac:dyDescent="0.45">
      <c r="AO735">
        <v>0</v>
      </c>
    </row>
    <row r="736" spans="41:41" hidden="1" x14ac:dyDescent="0.45">
      <c r="AO736">
        <v>0</v>
      </c>
    </row>
    <row r="737" spans="41:41" hidden="1" x14ac:dyDescent="0.45">
      <c r="AO737">
        <v>0</v>
      </c>
    </row>
    <row r="738" spans="41:41" hidden="1" x14ac:dyDescent="0.45">
      <c r="AO738">
        <v>0</v>
      </c>
    </row>
    <row r="739" spans="41:41" hidden="1" x14ac:dyDescent="0.45">
      <c r="AO739">
        <v>0</v>
      </c>
    </row>
    <row r="740" spans="41:41" hidden="1" x14ac:dyDescent="0.45">
      <c r="AO740">
        <v>0</v>
      </c>
    </row>
    <row r="741" spans="41:41" x14ac:dyDescent="0.45">
      <c r="AO741">
        <v>0.22702650000000002</v>
      </c>
    </row>
    <row r="742" spans="41:41" x14ac:dyDescent="0.45">
      <c r="AO742">
        <v>0.211453</v>
      </c>
    </row>
    <row r="743" spans="41:41" x14ac:dyDescent="0.45">
      <c r="AO743">
        <v>5.5495500000000003E-2</v>
      </c>
    </row>
    <row r="744" spans="41:41" x14ac:dyDescent="0.45">
      <c r="AO744">
        <v>7.0763999999999994E-2</v>
      </c>
    </row>
    <row r="745" spans="41:41" x14ac:dyDescent="0.45">
      <c r="AO745">
        <v>8.5675000000000005E-3</v>
      </c>
    </row>
    <row r="746" spans="41:41" x14ac:dyDescent="0.45">
      <c r="AO746">
        <v>0.94599900000000003</v>
      </c>
    </row>
    <row r="747" spans="41:41" x14ac:dyDescent="0.45">
      <c r="AO747">
        <v>0.68091900000000005</v>
      </c>
    </row>
    <row r="748" spans="41:41" x14ac:dyDescent="0.45">
      <c r="AO748">
        <v>0.25872050000000002</v>
      </c>
    </row>
    <row r="749" spans="41:41" x14ac:dyDescent="0.45">
      <c r="AO749">
        <v>8.7100000000000007E-3</v>
      </c>
    </row>
    <row r="750" spans="41:41" x14ac:dyDescent="0.45">
      <c r="AO750">
        <v>0.72755000000000003</v>
      </c>
    </row>
    <row r="751" spans="41:41" x14ac:dyDescent="0.45">
      <c r="AO751">
        <v>0.28982649999999999</v>
      </c>
    </row>
    <row r="752" spans="41:41" x14ac:dyDescent="0.45">
      <c r="AO752">
        <v>5.6134000000000003E-2</v>
      </c>
    </row>
    <row r="753" spans="41:41" x14ac:dyDescent="0.45">
      <c r="AO753">
        <v>0.80585299999999993</v>
      </c>
    </row>
    <row r="754" spans="41:41" x14ac:dyDescent="0.45">
      <c r="AO754">
        <v>0.39917800000000003</v>
      </c>
    </row>
    <row r="755" spans="41:41" hidden="1" x14ac:dyDescent="0.45">
      <c r="AO755">
        <v>0</v>
      </c>
    </row>
    <row r="756" spans="41:41" hidden="1" x14ac:dyDescent="0.45">
      <c r="AO756">
        <v>0</v>
      </c>
    </row>
    <row r="757" spans="41:41" hidden="1" x14ac:dyDescent="0.45">
      <c r="AO757">
        <v>0</v>
      </c>
    </row>
    <row r="758" spans="41:41" hidden="1" x14ac:dyDescent="0.45">
      <c r="AO758">
        <v>0</v>
      </c>
    </row>
    <row r="759" spans="41:41" hidden="1" x14ac:dyDescent="0.45">
      <c r="AO759">
        <v>0</v>
      </c>
    </row>
    <row r="760" spans="41:41" hidden="1" x14ac:dyDescent="0.45">
      <c r="AO760">
        <v>0</v>
      </c>
    </row>
    <row r="761" spans="41:41" hidden="1" x14ac:dyDescent="0.45">
      <c r="AO761">
        <v>0</v>
      </c>
    </row>
    <row r="762" spans="41:41" hidden="1" x14ac:dyDescent="0.45">
      <c r="AO762">
        <v>0</v>
      </c>
    </row>
    <row r="763" spans="41:41" hidden="1" x14ac:dyDescent="0.45">
      <c r="AO763">
        <v>0</v>
      </c>
    </row>
    <row r="764" spans="41:41" hidden="1" x14ac:dyDescent="0.45">
      <c r="AO764">
        <v>0</v>
      </c>
    </row>
    <row r="765" spans="41:41" x14ac:dyDescent="0.45">
      <c r="AO765">
        <v>0.8536165</v>
      </c>
    </row>
    <row r="766" spans="41:41" x14ac:dyDescent="0.45">
      <c r="AO766">
        <v>0.29045749999999998</v>
      </c>
    </row>
    <row r="767" spans="41:41" x14ac:dyDescent="0.45">
      <c r="AO767">
        <v>0.53965400000000008</v>
      </c>
    </row>
    <row r="768" spans="41:41" x14ac:dyDescent="0.45">
      <c r="AO768">
        <v>0.38346449999999999</v>
      </c>
    </row>
    <row r="769" spans="41:41" x14ac:dyDescent="0.45">
      <c r="AO769">
        <v>0.14937250000000002</v>
      </c>
    </row>
    <row r="770" spans="41:41" x14ac:dyDescent="0.45">
      <c r="AO770">
        <v>0.99249450000000006</v>
      </c>
    </row>
    <row r="771" spans="41:41" x14ac:dyDescent="0.45">
      <c r="AO771">
        <v>0.72704550000000001</v>
      </c>
    </row>
    <row r="772" spans="41:41" x14ac:dyDescent="0.45">
      <c r="AO772">
        <v>0.53972550000000008</v>
      </c>
    </row>
    <row r="773" spans="41:41" x14ac:dyDescent="0.45">
      <c r="AO773">
        <v>0.80529249999999997</v>
      </c>
    </row>
    <row r="774" spans="41:41" x14ac:dyDescent="0.45">
      <c r="AO774">
        <v>0.38423000000000002</v>
      </c>
    </row>
    <row r="775" spans="41:41" x14ac:dyDescent="0.45">
      <c r="AO775">
        <v>7.1105500000000002E-2</v>
      </c>
    </row>
    <row r="776" spans="41:41" x14ac:dyDescent="0.45">
      <c r="AO776">
        <v>0.80518749999999994</v>
      </c>
    </row>
    <row r="777" spans="41:41" x14ac:dyDescent="0.45">
      <c r="AO777">
        <v>8.6387500000000006E-2</v>
      </c>
    </row>
    <row r="778" spans="41:41" hidden="1" x14ac:dyDescent="0.45">
      <c r="AO778">
        <v>0</v>
      </c>
    </row>
    <row r="779" spans="41:41" hidden="1" x14ac:dyDescent="0.45">
      <c r="AO779">
        <v>0</v>
      </c>
    </row>
    <row r="780" spans="41:41" hidden="1" x14ac:dyDescent="0.45">
      <c r="AO780">
        <v>0</v>
      </c>
    </row>
    <row r="781" spans="41:41" hidden="1" x14ac:dyDescent="0.45">
      <c r="AO781">
        <v>0</v>
      </c>
    </row>
    <row r="782" spans="41:41" hidden="1" x14ac:dyDescent="0.45">
      <c r="AO782">
        <v>0</v>
      </c>
    </row>
    <row r="783" spans="41:41" hidden="1" x14ac:dyDescent="0.45">
      <c r="AO783">
        <v>0</v>
      </c>
    </row>
    <row r="784" spans="41:41" hidden="1" x14ac:dyDescent="0.45">
      <c r="AO784">
        <v>0</v>
      </c>
    </row>
    <row r="785" spans="41:41" hidden="1" x14ac:dyDescent="0.45">
      <c r="AO785">
        <v>0</v>
      </c>
    </row>
    <row r="786" spans="41:41" hidden="1" x14ac:dyDescent="0.45">
      <c r="AO786">
        <v>0</v>
      </c>
    </row>
    <row r="787" spans="41:41" hidden="1" x14ac:dyDescent="0.45">
      <c r="AO787">
        <v>0</v>
      </c>
    </row>
    <row r="788" spans="41:41" hidden="1" x14ac:dyDescent="0.45">
      <c r="AO788">
        <v>0</v>
      </c>
    </row>
    <row r="789" spans="41:41" hidden="1" x14ac:dyDescent="0.45">
      <c r="AO789">
        <v>0</v>
      </c>
    </row>
    <row r="790" spans="41:41" hidden="1" x14ac:dyDescent="0.45">
      <c r="AO790">
        <v>0</v>
      </c>
    </row>
    <row r="791" spans="41:41" hidden="1" x14ac:dyDescent="0.45">
      <c r="AO791">
        <v>0</v>
      </c>
    </row>
    <row r="792" spans="41:41" hidden="1" x14ac:dyDescent="0.45">
      <c r="AO792">
        <v>0</v>
      </c>
    </row>
    <row r="793" spans="41:41" hidden="1" x14ac:dyDescent="0.45">
      <c r="AO793">
        <v>0</v>
      </c>
    </row>
    <row r="794" spans="41:41" hidden="1" x14ac:dyDescent="0.45">
      <c r="AO794">
        <v>0</v>
      </c>
    </row>
    <row r="795" spans="41:41" hidden="1" x14ac:dyDescent="0.45">
      <c r="AO795">
        <v>0</v>
      </c>
    </row>
    <row r="796" spans="41:41" hidden="1" x14ac:dyDescent="0.45">
      <c r="AO796">
        <v>0</v>
      </c>
    </row>
    <row r="797" spans="41:41" hidden="1" x14ac:dyDescent="0.45">
      <c r="AO797">
        <v>0</v>
      </c>
    </row>
    <row r="798" spans="41:41" hidden="1" x14ac:dyDescent="0.45">
      <c r="AO798">
        <v>0</v>
      </c>
    </row>
    <row r="799" spans="41:41" hidden="1" x14ac:dyDescent="0.45">
      <c r="AO799">
        <v>0</v>
      </c>
    </row>
    <row r="800" spans="41:41" hidden="1" x14ac:dyDescent="0.45">
      <c r="AO800">
        <v>0</v>
      </c>
    </row>
    <row r="801" spans="41:41" hidden="1" x14ac:dyDescent="0.45">
      <c r="AO801">
        <v>0</v>
      </c>
    </row>
    <row r="802" spans="41:41" hidden="1" x14ac:dyDescent="0.45">
      <c r="AO802">
        <v>0</v>
      </c>
    </row>
    <row r="803" spans="41:41" hidden="1" x14ac:dyDescent="0.45">
      <c r="AO803">
        <v>0</v>
      </c>
    </row>
    <row r="804" spans="41:41" hidden="1" x14ac:dyDescent="0.45">
      <c r="AO804">
        <v>0</v>
      </c>
    </row>
    <row r="805" spans="41:41" hidden="1" x14ac:dyDescent="0.45">
      <c r="AO805">
        <v>0</v>
      </c>
    </row>
    <row r="806" spans="41:41" hidden="1" x14ac:dyDescent="0.45">
      <c r="AO806">
        <v>0</v>
      </c>
    </row>
    <row r="807" spans="41:41" hidden="1" x14ac:dyDescent="0.45">
      <c r="AO807">
        <v>0</v>
      </c>
    </row>
    <row r="808" spans="41:41" hidden="1" x14ac:dyDescent="0.45">
      <c r="AO808">
        <v>0</v>
      </c>
    </row>
    <row r="809" spans="41:41" hidden="1" x14ac:dyDescent="0.45">
      <c r="AO809">
        <v>0</v>
      </c>
    </row>
    <row r="810" spans="41:41" hidden="1" x14ac:dyDescent="0.45">
      <c r="AO810">
        <v>0</v>
      </c>
    </row>
    <row r="811" spans="41:41" hidden="1" x14ac:dyDescent="0.45">
      <c r="AO811">
        <v>0</v>
      </c>
    </row>
    <row r="812" spans="41:41" hidden="1" x14ac:dyDescent="0.45">
      <c r="AO812">
        <v>0</v>
      </c>
    </row>
    <row r="813" spans="41:41" hidden="1" x14ac:dyDescent="0.45">
      <c r="AO813">
        <v>0</v>
      </c>
    </row>
    <row r="814" spans="41:41" hidden="1" x14ac:dyDescent="0.45">
      <c r="AO814">
        <v>0</v>
      </c>
    </row>
    <row r="815" spans="41:41" hidden="1" x14ac:dyDescent="0.45">
      <c r="AO815">
        <v>0</v>
      </c>
    </row>
    <row r="816" spans="41:41" hidden="1" x14ac:dyDescent="0.45">
      <c r="AO816">
        <v>0</v>
      </c>
    </row>
    <row r="817" spans="41:41" hidden="1" x14ac:dyDescent="0.45">
      <c r="AO817">
        <v>0</v>
      </c>
    </row>
    <row r="818" spans="41:41" hidden="1" x14ac:dyDescent="0.45">
      <c r="AO818">
        <v>0</v>
      </c>
    </row>
    <row r="819" spans="41:41" hidden="1" x14ac:dyDescent="0.45">
      <c r="AO819">
        <v>0</v>
      </c>
    </row>
    <row r="820" spans="41:41" hidden="1" x14ac:dyDescent="0.45">
      <c r="AO820">
        <v>0</v>
      </c>
    </row>
    <row r="821" spans="41:41" hidden="1" x14ac:dyDescent="0.45">
      <c r="AO821">
        <v>0</v>
      </c>
    </row>
    <row r="822" spans="41:41" hidden="1" x14ac:dyDescent="0.45">
      <c r="AO822">
        <v>0</v>
      </c>
    </row>
    <row r="823" spans="41:41" hidden="1" x14ac:dyDescent="0.45">
      <c r="AO823">
        <v>0</v>
      </c>
    </row>
    <row r="824" spans="41:41" hidden="1" x14ac:dyDescent="0.45">
      <c r="AO824">
        <v>0</v>
      </c>
    </row>
    <row r="825" spans="41:41" hidden="1" x14ac:dyDescent="0.45">
      <c r="AO825">
        <v>0</v>
      </c>
    </row>
    <row r="826" spans="41:41" hidden="1" x14ac:dyDescent="0.45">
      <c r="AO826">
        <v>0</v>
      </c>
    </row>
    <row r="827" spans="41:41" hidden="1" x14ac:dyDescent="0.45">
      <c r="AO827">
        <v>0</v>
      </c>
    </row>
    <row r="828" spans="41:41" hidden="1" x14ac:dyDescent="0.45">
      <c r="AO828">
        <v>0</v>
      </c>
    </row>
    <row r="829" spans="41:41" hidden="1" x14ac:dyDescent="0.45">
      <c r="AO829">
        <v>0</v>
      </c>
    </row>
    <row r="830" spans="41:41" hidden="1" x14ac:dyDescent="0.45">
      <c r="AO830">
        <v>0</v>
      </c>
    </row>
    <row r="831" spans="41:41" hidden="1" x14ac:dyDescent="0.45">
      <c r="AO831">
        <v>0</v>
      </c>
    </row>
    <row r="832" spans="41:41" hidden="1" x14ac:dyDescent="0.45">
      <c r="AO832">
        <v>0</v>
      </c>
    </row>
    <row r="833" spans="41:41" hidden="1" x14ac:dyDescent="0.45">
      <c r="AO833">
        <v>0</v>
      </c>
    </row>
    <row r="834" spans="41:41" hidden="1" x14ac:dyDescent="0.45">
      <c r="AO834">
        <v>0</v>
      </c>
    </row>
    <row r="835" spans="41:41" hidden="1" x14ac:dyDescent="0.45">
      <c r="AO835">
        <v>0</v>
      </c>
    </row>
    <row r="836" spans="41:41" hidden="1" x14ac:dyDescent="0.45">
      <c r="AO836">
        <v>0</v>
      </c>
    </row>
    <row r="837" spans="41:41" hidden="1" x14ac:dyDescent="0.45">
      <c r="AO837">
        <v>0</v>
      </c>
    </row>
    <row r="838" spans="41:41" hidden="1" x14ac:dyDescent="0.45">
      <c r="AO838">
        <v>0</v>
      </c>
    </row>
    <row r="839" spans="41:41" hidden="1" x14ac:dyDescent="0.45">
      <c r="AO839">
        <v>0</v>
      </c>
    </row>
    <row r="840" spans="41:41" hidden="1" x14ac:dyDescent="0.45">
      <c r="AO840">
        <v>0</v>
      </c>
    </row>
    <row r="841" spans="41:41" hidden="1" x14ac:dyDescent="0.45">
      <c r="AO841">
        <v>0</v>
      </c>
    </row>
    <row r="842" spans="41:41" hidden="1" x14ac:dyDescent="0.45">
      <c r="AO842">
        <v>0</v>
      </c>
    </row>
    <row r="843" spans="41:41" hidden="1" x14ac:dyDescent="0.45">
      <c r="AO843">
        <v>0</v>
      </c>
    </row>
    <row r="844" spans="41:41" hidden="1" x14ac:dyDescent="0.45">
      <c r="AO844">
        <v>0</v>
      </c>
    </row>
    <row r="845" spans="41:41" hidden="1" x14ac:dyDescent="0.45">
      <c r="AO845">
        <v>0</v>
      </c>
    </row>
    <row r="846" spans="41:41" hidden="1" x14ac:dyDescent="0.45">
      <c r="AO846">
        <v>0</v>
      </c>
    </row>
    <row r="847" spans="41:41" hidden="1" x14ac:dyDescent="0.45">
      <c r="AO847">
        <v>0</v>
      </c>
    </row>
    <row r="848" spans="41:41" hidden="1" x14ac:dyDescent="0.45">
      <c r="AO848">
        <v>0</v>
      </c>
    </row>
    <row r="849" spans="41:41" hidden="1" x14ac:dyDescent="0.45">
      <c r="AO849">
        <v>0</v>
      </c>
    </row>
    <row r="850" spans="41:41" hidden="1" x14ac:dyDescent="0.45">
      <c r="AO850">
        <v>0</v>
      </c>
    </row>
    <row r="851" spans="41:41" hidden="1" x14ac:dyDescent="0.45">
      <c r="AO851">
        <v>0</v>
      </c>
    </row>
    <row r="852" spans="41:41" hidden="1" x14ac:dyDescent="0.45">
      <c r="AO852">
        <v>0</v>
      </c>
    </row>
    <row r="853" spans="41:41" hidden="1" x14ac:dyDescent="0.45">
      <c r="AO853">
        <v>0</v>
      </c>
    </row>
    <row r="854" spans="41:41" hidden="1" x14ac:dyDescent="0.45">
      <c r="AO854">
        <v>0</v>
      </c>
    </row>
    <row r="855" spans="41:41" hidden="1" x14ac:dyDescent="0.45">
      <c r="AO855">
        <v>0</v>
      </c>
    </row>
    <row r="856" spans="41:41" hidden="1" x14ac:dyDescent="0.45">
      <c r="AO856">
        <v>0</v>
      </c>
    </row>
    <row r="857" spans="41:41" hidden="1" x14ac:dyDescent="0.45">
      <c r="AO857">
        <v>0</v>
      </c>
    </row>
    <row r="858" spans="41:41" hidden="1" x14ac:dyDescent="0.45">
      <c r="AO858">
        <v>0</v>
      </c>
    </row>
    <row r="859" spans="41:41" hidden="1" x14ac:dyDescent="0.45">
      <c r="AO859">
        <v>0</v>
      </c>
    </row>
    <row r="860" spans="41:41" hidden="1" x14ac:dyDescent="0.45">
      <c r="AO860">
        <v>0</v>
      </c>
    </row>
    <row r="861" spans="41:41" hidden="1" x14ac:dyDescent="0.45">
      <c r="AO861">
        <v>0</v>
      </c>
    </row>
    <row r="862" spans="41:41" hidden="1" x14ac:dyDescent="0.45">
      <c r="AO862">
        <v>0</v>
      </c>
    </row>
    <row r="863" spans="41:41" hidden="1" x14ac:dyDescent="0.45">
      <c r="AO863">
        <v>0</v>
      </c>
    </row>
    <row r="864" spans="41:41" hidden="1" x14ac:dyDescent="0.45">
      <c r="AO864">
        <v>0</v>
      </c>
    </row>
    <row r="865" spans="41:41" hidden="1" x14ac:dyDescent="0.45">
      <c r="AO865">
        <v>0</v>
      </c>
    </row>
    <row r="866" spans="41:41" hidden="1" x14ac:dyDescent="0.45">
      <c r="AO866">
        <v>0</v>
      </c>
    </row>
    <row r="867" spans="41:41" hidden="1" x14ac:dyDescent="0.45">
      <c r="AO867">
        <v>0</v>
      </c>
    </row>
    <row r="868" spans="41:41" hidden="1" x14ac:dyDescent="0.45">
      <c r="AO868">
        <v>0</v>
      </c>
    </row>
    <row r="869" spans="41:41" hidden="1" x14ac:dyDescent="0.45">
      <c r="AO869">
        <v>0</v>
      </c>
    </row>
    <row r="870" spans="41:41" hidden="1" x14ac:dyDescent="0.45">
      <c r="AO870">
        <v>0</v>
      </c>
    </row>
    <row r="871" spans="41:41" hidden="1" x14ac:dyDescent="0.45">
      <c r="AO871">
        <v>0</v>
      </c>
    </row>
    <row r="872" spans="41:41" hidden="1" x14ac:dyDescent="0.45">
      <c r="AO872">
        <v>0</v>
      </c>
    </row>
    <row r="873" spans="41:41" hidden="1" x14ac:dyDescent="0.45">
      <c r="AO873">
        <v>0</v>
      </c>
    </row>
    <row r="874" spans="41:41" hidden="1" x14ac:dyDescent="0.45">
      <c r="AO874">
        <v>0</v>
      </c>
    </row>
    <row r="875" spans="41:41" hidden="1" x14ac:dyDescent="0.45">
      <c r="AO875">
        <v>0</v>
      </c>
    </row>
    <row r="876" spans="41:41" hidden="1" x14ac:dyDescent="0.45">
      <c r="AO876">
        <v>0</v>
      </c>
    </row>
    <row r="877" spans="41:41" hidden="1" x14ac:dyDescent="0.45">
      <c r="AO877">
        <v>0</v>
      </c>
    </row>
    <row r="878" spans="41:41" hidden="1" x14ac:dyDescent="0.45">
      <c r="AO878">
        <v>0</v>
      </c>
    </row>
    <row r="879" spans="41:41" hidden="1" x14ac:dyDescent="0.45">
      <c r="AO879">
        <v>0</v>
      </c>
    </row>
    <row r="880" spans="41:41" hidden="1" x14ac:dyDescent="0.45">
      <c r="AO880">
        <v>0</v>
      </c>
    </row>
    <row r="881" spans="41:41" hidden="1" x14ac:dyDescent="0.45">
      <c r="AO881">
        <v>0</v>
      </c>
    </row>
    <row r="882" spans="41:41" hidden="1" x14ac:dyDescent="0.45">
      <c r="AO882">
        <v>0</v>
      </c>
    </row>
    <row r="883" spans="41:41" hidden="1" x14ac:dyDescent="0.45">
      <c r="AO883">
        <v>0</v>
      </c>
    </row>
    <row r="884" spans="41:41" hidden="1" x14ac:dyDescent="0.45">
      <c r="AO884">
        <v>0</v>
      </c>
    </row>
    <row r="885" spans="41:41" hidden="1" x14ac:dyDescent="0.45">
      <c r="AO885">
        <v>0</v>
      </c>
    </row>
    <row r="886" spans="41:41" hidden="1" x14ac:dyDescent="0.45">
      <c r="AO886">
        <v>0</v>
      </c>
    </row>
    <row r="887" spans="41:41" hidden="1" x14ac:dyDescent="0.45">
      <c r="AO887">
        <v>0</v>
      </c>
    </row>
    <row r="888" spans="41:41" hidden="1" x14ac:dyDescent="0.45">
      <c r="AO888">
        <v>0</v>
      </c>
    </row>
    <row r="889" spans="41:41" hidden="1" x14ac:dyDescent="0.45">
      <c r="AO889">
        <v>0</v>
      </c>
    </row>
    <row r="890" spans="41:41" hidden="1" x14ac:dyDescent="0.45">
      <c r="AO890">
        <v>0</v>
      </c>
    </row>
    <row r="891" spans="41:41" hidden="1" x14ac:dyDescent="0.45">
      <c r="AO891">
        <v>0</v>
      </c>
    </row>
    <row r="892" spans="41:41" hidden="1" x14ac:dyDescent="0.45">
      <c r="AO892">
        <v>0</v>
      </c>
    </row>
    <row r="893" spans="41:41" hidden="1" x14ac:dyDescent="0.45">
      <c r="AO893">
        <v>0</v>
      </c>
    </row>
    <row r="894" spans="41:41" hidden="1" x14ac:dyDescent="0.45">
      <c r="AO894">
        <v>0</v>
      </c>
    </row>
  </sheetData>
  <autoFilter ref="AO1:AO894" xr:uid="{C902736D-DBD5-4DCE-8477-029663A97D85}">
    <filterColumn colId="0">
      <filters>
        <filter val="0.0081075"/>
        <filter val="0.008351"/>
        <filter val="0.0084565"/>
        <filter val="0.0084635"/>
        <filter val="0.0085675"/>
        <filter val="0.00871"/>
        <filter val="0.008714"/>
        <filter val="0.0087305"/>
        <filter val="0.008891"/>
        <filter val="0.0240075"/>
        <filter val="0.0240225"/>
        <filter val="0.024058"/>
        <filter val="0.0241795"/>
        <filter val="0.024303"/>
        <filter val="0.0243735"/>
        <filter val="0.0243895"/>
        <filter val="0.024431"/>
        <filter val="0.024749"/>
        <filter val="0.024918"/>
        <filter val="0.0394995"/>
        <filter val="0.0395215"/>
        <filter val="0.0395775"/>
        <filter val="0.0397465"/>
        <filter val="0.0398275"/>
        <filter val="0.0398535"/>
        <filter val="0.055192"/>
        <filter val="0.055193"/>
        <filter val="0.055313"/>
        <filter val="0.0553625"/>
        <filter val="0.055372"/>
        <filter val="0.05538"/>
        <filter val="0.0554955"/>
        <filter val="0.0555675"/>
        <filter val="0.0556905"/>
        <filter val="0.055824"/>
        <filter val="0.056134"/>
        <filter val="0.070764"/>
        <filter val="0.0708275"/>
        <filter val="0.0709135"/>
        <filter val="0.070956"/>
        <filter val="0.071025"/>
        <filter val="0.0711055"/>
        <filter val="0.071179"/>
        <filter val="0.0712425"/>
        <filter val="0.071475"/>
        <filter val="0.0863875"/>
        <filter val="0.0865875"/>
        <filter val="0.0866615"/>
        <filter val="0.0868325"/>
        <filter val="0.086921"/>
        <filter val="0.087198"/>
        <filter val="0.101883"/>
        <filter val="0.1020765"/>
        <filter val="0.102113"/>
        <filter val="0.1021325"/>
        <filter val="0.1022645"/>
        <filter val="0.1023855"/>
        <filter val="0.1023905"/>
        <filter val="0.1024155"/>
        <filter val="0.1026165"/>
        <filter val="0.102822"/>
        <filter val="0.11754"/>
        <filter val="0.1176475"/>
        <filter val="0.1177895"/>
        <filter val="0.1178695"/>
        <filter val="0.1178705"/>
        <filter val="0.1179365"/>
        <filter val="0.1182735"/>
        <filter val="0.13336"/>
        <filter val="0.133371"/>
        <filter val="0.1334825"/>
        <filter val="0.133625"/>
        <filter val="0.1337875"/>
        <filter val="0.133829"/>
        <filter val="0.148984"/>
        <filter val="0.149115"/>
        <filter val="0.149279"/>
        <filter val="0.1493725"/>
        <filter val="0.149925"/>
        <filter val="0.1645995"/>
        <filter val="0.164621"/>
        <filter val="0.1647225"/>
        <filter val="0.1647445"/>
        <filter val="0.164948"/>
        <filter val="0.165007"/>
        <filter val="0.1650475"/>
        <filter val="0.165545"/>
        <filter val="0.1664465"/>
        <filter val="0.1801045"/>
        <filter val="0.1802715"/>
        <filter val="0.1803435"/>
        <filter val="0.1803595"/>
        <filter val="0.180361"/>
        <filter val="0.1803755"/>
        <filter val="0.1804825"/>
        <filter val="0.1805765"/>
        <filter val="0.180687"/>
        <filter val="0.1956975"/>
        <filter val="0.195779"/>
        <filter val="0.195912"/>
        <filter val="0.1960155"/>
        <filter val="0.1961285"/>
        <filter val="0.1962235"/>
        <filter val="0.1963335"/>
        <filter val="0.1964015"/>
        <filter val="0.1966765"/>
        <filter val="0.211453"/>
        <filter val="0.211575"/>
        <filter val="0.211686"/>
        <filter val="0.2117835"/>
        <filter val="0.2125125"/>
        <filter val="0.2132435"/>
        <filter val="0.2269085"/>
        <filter val="0.2269605"/>
        <filter val="0.2270265"/>
        <filter val="0.2270465"/>
        <filter val="0.2271045"/>
        <filter val="0.2271855"/>
        <filter val="0.227231"/>
        <filter val="0.227328"/>
        <filter val="0.2273715"/>
        <filter val="0.227481"/>
        <filter val="0.2425075"/>
        <filter val="0.2425555"/>
        <filter val="0.2426235"/>
        <filter val="0.2426965"/>
        <filter val="0.242741"/>
        <filter val="0.243007"/>
        <filter val="0.24302"/>
        <filter val="0.25813"/>
        <filter val="0.2582875"/>
        <filter val="0.25829"/>
        <filter val="0.25838"/>
        <filter val="0.2584025"/>
        <filter val="0.25843"/>
        <filter val="0.258431"/>
        <filter val="0.25862"/>
        <filter val="0.258684"/>
        <filter val="0.2587205"/>
        <filter val="0.258752"/>
        <filter val="0.2587805"/>
        <filter val="0.2588485"/>
        <filter val="0.2588655"/>
        <filter val="0.273954"/>
        <filter val="0.274065"/>
        <filter val="0.274073"/>
        <filter val="0.2741605"/>
        <filter val="0.2741705"/>
        <filter val="0.274173"/>
        <filter val="0.2741895"/>
        <filter val="0.2742495"/>
        <filter val="0.2742945"/>
        <filter val="0.274408"/>
        <filter val="0.2893165"/>
        <filter val="0.289513"/>
        <filter val="0.289564"/>
        <filter val="0.2896135"/>
        <filter val="0.2897515"/>
        <filter val="0.2897595"/>
        <filter val="0.28977"/>
        <filter val="0.289787"/>
        <filter val="0.28981"/>
        <filter val="0.2898265"/>
        <filter val="0.2899275"/>
        <filter val="0.2900075"/>
        <filter val="0.2900645"/>
        <filter val="0.2904575"/>
        <filter val="0.2905235"/>
        <filter val="0.2908015"/>
        <filter val="0.305154"/>
        <filter val="0.305291"/>
        <filter val="0.3053555"/>
        <filter val="0.305953"/>
        <filter val="0.320824"/>
        <filter val="0.3209765"/>
        <filter val="0.32113"/>
        <filter val="0.321135"/>
        <filter val="0.3211385"/>
        <filter val="0.3211945"/>
        <filter val="0.321286"/>
        <filter val="0.321413"/>
        <filter val="0.321432"/>
        <filter val="0.3214525"/>
        <filter val="0.321481"/>
        <filter val="0.3216075"/>
        <filter val="0.336405"/>
        <filter val="0.336485"/>
        <filter val="0.336628"/>
        <filter val="0.3366695"/>
        <filter val="0.3368095"/>
        <filter val="0.3370795"/>
        <filter val="0.3519175"/>
        <filter val="0.3519385"/>
        <filter val="0.352283"/>
        <filter val="0.3523345"/>
        <filter val="0.352472"/>
        <filter val="0.352614"/>
        <filter val="0.3526395"/>
        <filter val="0.3529445"/>
        <filter val="0.3531405"/>
        <filter val="0.3534345"/>
        <filter val="0.36735"/>
        <filter val="0.367827"/>
        <filter val="0.3682775"/>
        <filter val="0.3684215"/>
        <filter val="0.3686025"/>
        <filter val="0.383351"/>
        <filter val="0.3834015"/>
        <filter val="0.3834045"/>
        <filter val="0.3834195"/>
        <filter val="0.3834645"/>
        <filter val="0.383481"/>
        <filter val="0.383664"/>
        <filter val="0.383692"/>
        <filter val="0.3837095"/>
        <filter val="0.3837465"/>
        <filter val="0.3840005"/>
        <filter val="0.384021"/>
        <filter val="0.38423"/>
        <filter val="0.3853005"/>
        <filter val="0.3990155"/>
        <filter val="0.399178"/>
        <filter val="0.399259"/>
        <filter val="0.3994185"/>
        <filter val="0.399551"/>
        <filter val="0.4145175"/>
        <filter val="0.4145955"/>
        <filter val="0.414606"/>
        <filter val="0.414693"/>
        <filter val="0.414718"/>
        <filter val="0.4148955"/>
        <filter val="0.414903"/>
        <filter val="0.415152"/>
        <filter val="0.4156195"/>
        <filter val="0.4298505"/>
        <filter val="0.43012"/>
        <filter val="0.4301765"/>
        <filter val="0.4304345"/>
        <filter val="0.430549"/>
        <filter val="0.430655"/>
        <filter val="0.4307115"/>
        <filter val="0.4308225"/>
        <filter val="0.445837"/>
        <filter val="0.445919"/>
        <filter val="0.446034"/>
        <filter val="0.446226"/>
        <filter val="0.446263"/>
        <filter val="0.4470115"/>
        <filter val="0.4486465"/>
        <filter val="0.453821"/>
        <filter val="0.453996"/>
        <filter val="0.4617085"/>
        <filter val="0.4624625"/>
        <filter val="0.477126"/>
        <filter val="0.477309"/>
        <filter val="0.477331"/>
        <filter val="0.477412"/>
        <filter val="0.4775205"/>
        <filter val="0.4775225"/>
        <filter val="0.4778675"/>
        <filter val="0.4780585"/>
        <filter val="0.4927805"/>
        <filter val="0.492793"/>
        <filter val="0.4928015"/>
        <filter val="0.493132"/>
        <filter val="0.4931695"/>
        <filter val="0.5081505"/>
        <filter val="0.5082415"/>
        <filter val="0.5084135"/>
        <filter val="0.508499"/>
        <filter val="0.508515"/>
        <filter val="0.5086045"/>
        <filter val="0.508703"/>
        <filter val="0.5239265"/>
        <filter val="0.52406"/>
        <filter val="0.5240875"/>
        <filter val="0.5241475"/>
        <filter val="0.5248545"/>
        <filter val="0.539302"/>
        <filter val="0.539348"/>
        <filter val="0.5393745"/>
        <filter val="0.5394485"/>
        <filter val="0.539563"/>
        <filter val="0.539567"/>
        <filter val="0.5395705"/>
        <filter val="0.539613"/>
        <filter val="0.5396275"/>
        <filter val="0.539654"/>
        <filter val="0.5396565"/>
        <filter val="0.5397255"/>
        <filter val="0.5397735"/>
        <filter val="0.5398255"/>
        <filter val="0.5400395"/>
        <filter val="0.5400905"/>
        <filter val="0.540197"/>
        <filter val="0.5402495"/>
        <filter val="0.555592"/>
        <filter val="0.555777"/>
        <filter val="0.570679"/>
        <filter val="0.5709705"/>
        <filter val="0.571067"/>
        <filter val="0.571082"/>
        <filter val="0.571131"/>
        <filter val="0.571134"/>
        <filter val="0.571204"/>
        <filter val="0.571212"/>
        <filter val="0.5712765"/>
        <filter val="0.5713375"/>
        <filter val="0.586242"/>
        <filter val="0.586445"/>
        <filter val="0.5864455"/>
        <filter val="0.5866045"/>
        <filter val="0.5866595"/>
        <filter val="0.5867415"/>
        <filter val="0.5867555"/>
        <filter val="0.6017675"/>
        <filter val="0.602198"/>
        <filter val="0.602243"/>
        <filter val="0.6023335"/>
        <filter val="0.602433"/>
        <filter val="0.6024565"/>
        <filter val="0.602536"/>
        <filter val="0.6027495"/>
        <filter val="0.617533"/>
        <filter val="0.617797"/>
        <filter val="0.618061"/>
        <filter val="0.618249"/>
        <filter val="0.6334265"/>
        <filter val="0.633445"/>
        <filter val="0.6334945"/>
        <filter val="0.6336595"/>
        <filter val="0.6337765"/>
        <filter val="0.6338365"/>
        <filter val="0.6345065"/>
        <filter val="0.6486955"/>
        <filter val="0.6489455"/>
        <filter val="0.649383"/>
        <filter val="0.649412"/>
        <filter val="0.649976"/>
        <filter val="0.6644515"/>
        <filter val="0.6646585"/>
        <filter val="0.6646845"/>
        <filter val="0.6648085"/>
        <filter val="0.664821"/>
        <filter val="0.6649385"/>
        <filter val="0.6650185"/>
        <filter val="0.665088"/>
        <filter val="0.665184"/>
        <filter val="0.665239"/>
        <filter val="0.6655575"/>
        <filter val="0.6658185"/>
        <filter val="0.6804445"/>
        <filter val="0.680457"/>
        <filter val="0.680492"/>
        <filter val="0.680536"/>
        <filter val="0.680651"/>
        <filter val="0.6807595"/>
        <filter val="0.680919"/>
        <filter val="0.695685"/>
        <filter val="0.6958475"/>
        <filter val="0.6958625"/>
        <filter val="0.6958795"/>
        <filter val="0.6959215"/>
        <filter val="0.696043"/>
        <filter val="0.6961595"/>
        <filter val="0.696233"/>
        <filter val="0.7111945"/>
        <filter val="0.7114825"/>
        <filter val="0.711507"/>
        <filter val="0.7115355"/>
        <filter val="0.711717"/>
        <filter val="0.711882"/>
        <filter val="0.712174"/>
        <filter val="0.7270455"/>
        <filter val="0.7271165"/>
        <filter val="0.7271815"/>
        <filter val="0.7272855"/>
        <filter val="0.727328"/>
        <filter val="0.7273505"/>
        <filter val="0.7275055"/>
        <filter val="0.72755"/>
        <filter val="0.742748"/>
        <filter val="0.7427705"/>
        <filter val="0.7429855"/>
        <filter val="0.743178"/>
        <filter val="0.758171"/>
        <filter val="0.7583385"/>
        <filter val="0.758401"/>
        <filter val="0.759005"/>
        <filter val="0.7590225"/>
        <filter val="0.773675"/>
        <filter val="0.7740165"/>
        <filter val="0.774097"/>
        <filter val="0.774297"/>
        <filter val="0.7893655"/>
        <filter val="0.7894855"/>
        <filter val="0.789599"/>
        <filter val="0.789768"/>
        <filter val="0.7898"/>
        <filter val="0.7900525"/>
        <filter val="0.7902715"/>
        <filter val="0.7903915"/>
        <filter val="0.8050315"/>
        <filter val="0.8050755"/>
        <filter val="0.8051565"/>
        <filter val="0.8051875"/>
        <filter val="0.8052925"/>
        <filter val="0.805853"/>
        <filter val="0.8205395"/>
        <filter val="0.8207115"/>
        <filter val="0.8208795"/>
        <filter val="0.8209565"/>
        <filter val="0.821008"/>
        <filter val="0.8210195"/>
        <filter val="0.8211255"/>
        <filter val="0.821229"/>
        <filter val="0.82129"/>
        <filter val="0.8213005"/>
        <filter val="0.821334"/>
        <filter val="0.8214035"/>
        <filter val="0.8214645"/>
        <filter val="0.83641"/>
        <filter val="0.8517755"/>
        <filter val="0.852011"/>
        <filter val="0.8520295"/>
        <filter val="0.852156"/>
        <filter val="0.852174"/>
        <filter val="0.8524885"/>
        <filter val="0.8526035"/>
        <filter val="0.852991"/>
        <filter val="0.8536165"/>
        <filter val="0.867958"/>
        <filter val="0.8679815"/>
        <filter val="0.8831435"/>
        <filter val="0.8832855"/>
        <filter val="0.8834695"/>
        <filter val="0.8838845"/>
        <filter val="0.883928"/>
        <filter val="0.883971"/>
        <filter val="0.898864"/>
        <filter val="0.8989255"/>
        <filter val="0.899046"/>
        <filter val="0.89906"/>
        <filter val="0.8991855"/>
        <filter val="0.899187"/>
        <filter val="0.8994975"/>
        <filter val="0.8998925"/>
        <filter val="0.899896"/>
        <filter val="0.9145875"/>
        <filter val="0.9146545"/>
        <filter val="0.9146725"/>
        <filter val="0.914733"/>
        <filter val="0.914793"/>
        <filter val="0.914906"/>
        <filter val="0.9149295"/>
        <filter val="0.9155025"/>
        <filter val="0.9156255"/>
        <filter val="0.9303075"/>
        <filter val="0.930356"/>
        <filter val="0.930546"/>
        <filter val="0.945813"/>
        <filter val="0.9458915"/>
        <filter val="0.9459165"/>
        <filter val="0.94595"/>
        <filter val="0.9459525"/>
        <filter val="0.9459655"/>
        <filter val="0.945999"/>
        <filter val="0.946004"/>
        <filter val="0.961552"/>
        <filter val="0.9615975"/>
        <filter val="0.96186"/>
        <filter val="0.962292"/>
        <filter val="0.9769715"/>
        <filter val="0.976984"/>
        <filter val="0.977009"/>
        <filter val="0.9771175"/>
        <filter val="0.977245"/>
        <filter val="0.9772655"/>
        <filter val="0.977319"/>
        <filter val="0.977399"/>
        <filter val="0.9774425"/>
        <filter val="0.977461"/>
        <filter val="0.9775505"/>
        <filter val="0.977845"/>
        <filter val="0.9924095"/>
        <filter val="0.9924945"/>
        <filter val="0.9925095"/>
        <filter val="0.9925545"/>
      </filters>
    </filterColumn>
  </autoFilter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Uncalibrated</vt:lpstr>
      <vt:lpstr>Calibrated</vt:lpstr>
      <vt:lpstr>Test1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Kolchanov</dc:creator>
  <cp:lastModifiedBy>Ivan Kolchanov</cp:lastModifiedBy>
  <cp:lastPrinted>2025-09-30T18:24:46Z</cp:lastPrinted>
  <dcterms:created xsi:type="dcterms:W3CDTF">2024-09-12T20:32:19Z</dcterms:created>
  <dcterms:modified xsi:type="dcterms:W3CDTF">2025-09-30T18:25:21Z</dcterms:modified>
</cp:coreProperties>
</file>